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epp\Desktop\Teepp DOC\teepp\Wilmar Malaysia QC\Feasibility study\AI driven phosphorous content prediction\"/>
    </mc:Choice>
  </mc:AlternateContent>
  <xr:revisionPtr revIDLastSave="0" documentId="8_{5FFAD641-E7D7-4115-9F20-8B2F70C9EDF0}" xr6:coauthVersionLast="47" xr6:coauthVersionMax="47" xr10:uidLastSave="{00000000-0000-0000-0000-000000000000}"/>
  <bookViews>
    <workbookView xWindow="-120" yWindow="-120" windowWidth="20730" windowHeight="11160" firstSheet="8" activeTab="8" xr2:uid="{25D602E2-359D-4B85-B43C-4143612DD818}"/>
  </bookViews>
  <sheets>
    <sheet name="January 2025" sheetId="3" r:id="rId1"/>
    <sheet name="February 2025" sheetId="12" r:id="rId2"/>
    <sheet name="March 2025" sheetId="10" r:id="rId3"/>
    <sheet name="April 2025" sheetId="9" r:id="rId4"/>
    <sheet name="May 2025" sheetId="11" r:id="rId5"/>
    <sheet name="June 2025" sheetId="8" r:id="rId6"/>
    <sheet name="July 2025" sheetId="7" r:id="rId7"/>
    <sheet name="August 2025" sheetId="6" r:id="rId8"/>
    <sheet name="October 2025" sheetId="1" r:id="rId9"/>
    <sheet name="November 2025" sheetId="2" r:id="rId10"/>
    <sheet name="December 2025" sheetId="4" r:id="rId11"/>
  </sheets>
  <externalReferences>
    <externalReference r:id="rId12"/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2" l="1"/>
  <c r="I12" i="12"/>
  <c r="H12" i="12"/>
  <c r="G12" i="12"/>
  <c r="F12" i="12"/>
  <c r="I8" i="12"/>
  <c r="H8" i="12"/>
  <c r="G8" i="12"/>
  <c r="F8" i="12"/>
  <c r="J8" i="3" l="1"/>
  <c r="F7" i="1" l="1"/>
  <c r="G7" i="1"/>
  <c r="H7" i="1"/>
  <c r="I7" i="1"/>
  <c r="J7" i="1"/>
  <c r="F35" i="1"/>
  <c r="G35" i="1"/>
  <c r="H35" i="1"/>
  <c r="I35" i="1"/>
  <c r="J35" i="1"/>
  <c r="F32" i="1"/>
  <c r="G32" i="1"/>
  <c r="H32" i="1"/>
  <c r="I32" i="1"/>
  <c r="J32" i="1"/>
  <c r="F30" i="1"/>
  <c r="G30" i="1"/>
  <c r="H30" i="1"/>
  <c r="I30" i="1"/>
  <c r="J30" i="1"/>
  <c r="F31" i="1"/>
  <c r="G31" i="1"/>
  <c r="H31" i="1"/>
  <c r="I31" i="1"/>
  <c r="J31" i="1"/>
  <c r="F29" i="1"/>
  <c r="G29" i="1"/>
  <c r="H29" i="1"/>
  <c r="I29" i="1"/>
  <c r="J29" i="1"/>
  <c r="F28" i="1"/>
  <c r="G28" i="1"/>
  <c r="H28" i="1"/>
  <c r="I28" i="1"/>
  <c r="J28" i="1"/>
  <c r="F27" i="1"/>
  <c r="G27" i="1"/>
  <c r="H27" i="1"/>
  <c r="I27" i="1"/>
  <c r="J27" i="1"/>
  <c r="F26" i="1"/>
  <c r="G26" i="1"/>
  <c r="H26" i="1"/>
  <c r="I26" i="1"/>
  <c r="J26" i="1"/>
  <c r="F25" i="1"/>
  <c r="G25" i="1"/>
  <c r="H25" i="1"/>
  <c r="I25" i="1"/>
  <c r="J25" i="1"/>
  <c r="F24" i="1"/>
  <c r="G24" i="1"/>
  <c r="H24" i="1"/>
  <c r="I24" i="1"/>
  <c r="J24" i="1"/>
  <c r="F23" i="1"/>
  <c r="G23" i="1"/>
  <c r="H23" i="1"/>
  <c r="I23" i="1"/>
  <c r="J23" i="1"/>
  <c r="F22" i="1"/>
  <c r="G22" i="1"/>
  <c r="H22" i="1"/>
  <c r="I22" i="1"/>
  <c r="J22" i="1"/>
  <c r="F21" i="1"/>
  <c r="G21" i="1"/>
  <c r="H21" i="1"/>
  <c r="I21" i="1"/>
  <c r="J21" i="1"/>
  <c r="F20" i="1"/>
  <c r="G20" i="1"/>
  <c r="H20" i="1"/>
  <c r="F19" i="1"/>
  <c r="G19" i="1"/>
  <c r="H19" i="1"/>
  <c r="I19" i="1"/>
  <c r="J19" i="1"/>
  <c r="F18" i="1"/>
  <c r="G18" i="1"/>
  <c r="H18" i="1"/>
  <c r="I18" i="1"/>
  <c r="J18" i="1"/>
  <c r="F17" i="1"/>
  <c r="G17" i="1"/>
  <c r="H17" i="1"/>
  <c r="I17" i="1"/>
  <c r="J17" i="1"/>
  <c r="F16" i="1"/>
  <c r="G16" i="1"/>
  <c r="H16" i="1"/>
  <c r="I16" i="1"/>
  <c r="J16" i="1"/>
  <c r="F15" i="1"/>
  <c r="G15" i="1"/>
  <c r="H15" i="1"/>
  <c r="I15" i="1"/>
  <c r="J15" i="1"/>
  <c r="F14" i="1"/>
  <c r="G14" i="1"/>
  <c r="H14" i="1"/>
  <c r="I14" i="1"/>
  <c r="J14" i="1"/>
  <c r="F13" i="1"/>
  <c r="G13" i="1"/>
  <c r="H13" i="1"/>
  <c r="I13" i="1"/>
  <c r="J13" i="1"/>
  <c r="F12" i="1"/>
  <c r="G12" i="1"/>
  <c r="H12" i="1"/>
  <c r="I12" i="1"/>
  <c r="J12" i="1"/>
  <c r="F11" i="1"/>
  <c r="G11" i="1"/>
  <c r="H11" i="1"/>
  <c r="I11" i="1"/>
  <c r="J11" i="1"/>
  <c r="F10" i="1"/>
  <c r="G10" i="1"/>
  <c r="H10" i="1"/>
  <c r="I10" i="1"/>
  <c r="J10" i="1"/>
  <c r="F9" i="1"/>
  <c r="G9" i="1"/>
  <c r="H9" i="1"/>
  <c r="I9" i="1"/>
  <c r="J9" i="1"/>
  <c r="F8" i="1"/>
  <c r="G8" i="1"/>
  <c r="H8" i="1"/>
  <c r="I8" i="1"/>
  <c r="J8" i="1"/>
  <c r="J6" i="1"/>
  <c r="I6" i="1"/>
  <c r="H6" i="1"/>
  <c r="G6" i="1"/>
  <c r="F6" i="1"/>
  <c r="J5" i="1"/>
  <c r="I5" i="1"/>
  <c r="H5" i="1"/>
  <c r="G5" i="1"/>
  <c r="F5" i="1"/>
  <c r="F34" i="2"/>
  <c r="G34" i="2"/>
  <c r="H34" i="2"/>
  <c r="I34" i="2"/>
  <c r="J34" i="2"/>
  <c r="F33" i="2"/>
  <c r="G33" i="2"/>
  <c r="H33" i="2"/>
  <c r="I33" i="2"/>
  <c r="J33" i="2"/>
  <c r="F32" i="2"/>
  <c r="G32" i="2"/>
  <c r="H32" i="2"/>
  <c r="I32" i="2"/>
  <c r="J32" i="2"/>
  <c r="F31" i="2"/>
  <c r="G31" i="2"/>
  <c r="H31" i="2"/>
  <c r="I31" i="2"/>
  <c r="J31" i="2"/>
  <c r="F30" i="2"/>
  <c r="G30" i="2"/>
  <c r="H30" i="2"/>
  <c r="I30" i="2"/>
  <c r="J30" i="2"/>
  <c r="F29" i="2"/>
  <c r="G29" i="2"/>
  <c r="H29" i="2"/>
  <c r="I29" i="2"/>
  <c r="J29" i="2"/>
  <c r="F28" i="2"/>
  <c r="G28" i="2"/>
  <c r="H28" i="2"/>
  <c r="I28" i="2"/>
  <c r="J28" i="2"/>
  <c r="F27" i="2"/>
  <c r="G27" i="2"/>
  <c r="H27" i="2"/>
  <c r="I27" i="2"/>
  <c r="J27" i="2"/>
  <c r="F26" i="2"/>
  <c r="G26" i="2"/>
  <c r="H26" i="2"/>
  <c r="I26" i="2"/>
  <c r="J26" i="2"/>
  <c r="F25" i="2"/>
  <c r="G25" i="2"/>
  <c r="H25" i="2"/>
  <c r="I25" i="2"/>
  <c r="J25" i="2"/>
  <c r="F24" i="2"/>
  <c r="G24" i="2"/>
  <c r="H24" i="2"/>
  <c r="I24" i="2"/>
  <c r="J24" i="2"/>
  <c r="F23" i="2"/>
  <c r="G23" i="2"/>
  <c r="H23" i="2"/>
  <c r="I23" i="2"/>
  <c r="J23" i="2"/>
  <c r="F22" i="2"/>
  <c r="G22" i="2"/>
  <c r="H22" i="2"/>
  <c r="I22" i="2"/>
  <c r="F21" i="2"/>
  <c r="G21" i="2"/>
  <c r="H21" i="2"/>
  <c r="I21" i="2"/>
  <c r="J21" i="2"/>
  <c r="F20" i="2"/>
  <c r="G20" i="2"/>
  <c r="H20" i="2"/>
  <c r="I20" i="2"/>
  <c r="J20" i="2"/>
  <c r="F19" i="2"/>
  <c r="G19" i="2"/>
  <c r="H19" i="2"/>
  <c r="I19" i="2"/>
  <c r="J19" i="2"/>
  <c r="F18" i="2"/>
  <c r="G18" i="2"/>
  <c r="H18" i="2"/>
  <c r="I18" i="2"/>
  <c r="J18" i="2"/>
  <c r="F17" i="2"/>
  <c r="G17" i="2"/>
  <c r="H17" i="2"/>
  <c r="I17" i="2"/>
  <c r="J17" i="2"/>
  <c r="F16" i="2"/>
  <c r="G16" i="2"/>
  <c r="H16" i="2"/>
  <c r="I16" i="2"/>
  <c r="J16" i="2"/>
  <c r="F15" i="2"/>
  <c r="G15" i="2"/>
  <c r="H15" i="2"/>
  <c r="I15" i="2"/>
  <c r="J15" i="2"/>
  <c r="F14" i="2"/>
  <c r="G14" i="2"/>
  <c r="H14" i="2"/>
  <c r="I14" i="2"/>
  <c r="J14" i="2"/>
  <c r="F13" i="2"/>
  <c r="G13" i="2"/>
  <c r="H13" i="2"/>
  <c r="I13" i="2"/>
  <c r="J13" i="2"/>
  <c r="F12" i="2"/>
  <c r="G12" i="2"/>
  <c r="H12" i="2"/>
  <c r="I12" i="2"/>
  <c r="J12" i="2"/>
  <c r="F11" i="2"/>
  <c r="G11" i="2"/>
  <c r="H11" i="2"/>
  <c r="I11" i="2"/>
  <c r="J11" i="2"/>
  <c r="F10" i="2"/>
  <c r="G10" i="2"/>
  <c r="H10" i="2"/>
  <c r="I10" i="2"/>
  <c r="J10" i="2"/>
  <c r="F9" i="2"/>
  <c r="G9" i="2"/>
  <c r="H9" i="2"/>
  <c r="I9" i="2"/>
  <c r="J9" i="2"/>
  <c r="G5" i="2"/>
  <c r="F8" i="2"/>
  <c r="G8" i="2"/>
  <c r="H8" i="2"/>
  <c r="I8" i="2"/>
  <c r="J8" i="2"/>
  <c r="J7" i="2"/>
  <c r="I7" i="2"/>
  <c r="H7" i="2"/>
  <c r="G7" i="2"/>
  <c r="F7" i="2"/>
  <c r="J6" i="2"/>
  <c r="I6" i="2"/>
  <c r="H6" i="2"/>
  <c r="G6" i="2"/>
  <c r="F6" i="2"/>
  <c r="J5" i="2"/>
  <c r="I5" i="2"/>
  <c r="H5" i="2"/>
  <c r="F5" i="2"/>
  <c r="B28" i="2" l="1"/>
  <c r="B29" i="2" s="1"/>
  <c r="B30" i="2" s="1"/>
  <c r="B31" i="2" s="1"/>
  <c r="B32" i="2" s="1"/>
  <c r="B33" i="2" s="1"/>
  <c r="B34" i="2" s="1"/>
  <c r="B6" i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<sst xmlns="http://schemas.openxmlformats.org/spreadsheetml/2006/main" count="1513" uniqueCount="82">
  <si>
    <t>Date</t>
  </si>
  <si>
    <t>Acid dosing (%)</t>
  </si>
  <si>
    <t>Bleaching Earth dosing )%)</t>
  </si>
  <si>
    <t xml:space="preserve">Feed Oil </t>
  </si>
  <si>
    <t>RBD Oil</t>
  </si>
  <si>
    <t xml:space="preserve">Tank </t>
  </si>
  <si>
    <t>FFA %</t>
  </si>
  <si>
    <t>M&amp;I %</t>
  </si>
  <si>
    <t>IV</t>
  </si>
  <si>
    <t>DOBI</t>
  </si>
  <si>
    <t>CAR/ PV</t>
  </si>
  <si>
    <t>P (ppm)</t>
  </si>
  <si>
    <t xml:space="preserve">Type of Oil </t>
  </si>
  <si>
    <t>PV</t>
  </si>
  <si>
    <t xml:space="preserve">COLOR </t>
  </si>
  <si>
    <t>ODOR</t>
  </si>
  <si>
    <t>Type of Oil</t>
  </si>
  <si>
    <t>STOP</t>
  </si>
  <si>
    <t>TK3</t>
  </si>
  <si>
    <t>CPO</t>
  </si>
  <si>
    <t>ST14</t>
  </si>
  <si>
    <t>RBDPO</t>
  </si>
  <si>
    <t>ST14/ ST15</t>
  </si>
  <si>
    <t>TK3/ NT2</t>
  </si>
  <si>
    <t>NT2/ TK3</t>
  </si>
  <si>
    <t>TK3/ NT3</t>
  </si>
  <si>
    <t>TK3/ NT1</t>
  </si>
  <si>
    <t xml:space="preserve">NT1/ NT2 </t>
  </si>
  <si>
    <t>NT2/ NT3</t>
  </si>
  <si>
    <t>NT2</t>
  </si>
  <si>
    <t>NT3</t>
  </si>
  <si>
    <t xml:space="preserve">ST14 </t>
  </si>
  <si>
    <t>NT3/ TK3</t>
  </si>
  <si>
    <t>ST14/ ST5</t>
  </si>
  <si>
    <t>NT1/ NT2</t>
  </si>
  <si>
    <t>ST15</t>
  </si>
  <si>
    <t>ST11/ ST14/ ST15</t>
  </si>
  <si>
    <t xml:space="preserve">ST11/ ST14 </t>
  </si>
  <si>
    <t>ST11</t>
  </si>
  <si>
    <t>NT3/ NT1</t>
  </si>
  <si>
    <t>ST11/ ST14</t>
  </si>
  <si>
    <t>ST11/ ST15</t>
  </si>
  <si>
    <t xml:space="preserve">TK3/ NT1 </t>
  </si>
  <si>
    <t>NT1/ NT3</t>
  </si>
  <si>
    <t xml:space="preserve">NT3 </t>
  </si>
  <si>
    <t>ST12/ ST14</t>
  </si>
  <si>
    <t xml:space="preserve">NT2 </t>
  </si>
  <si>
    <t>TK3/ NT3/ TK3</t>
  </si>
  <si>
    <t>ST14/ ST12</t>
  </si>
  <si>
    <t>ST12/ ST14/ ST15</t>
  </si>
  <si>
    <t>NT3/ NT1/ NT2</t>
  </si>
  <si>
    <t xml:space="preserve">ST12/ ST14 </t>
  </si>
  <si>
    <t>PLANT STOPPED</t>
  </si>
  <si>
    <t xml:space="preserve">TK3 </t>
  </si>
  <si>
    <t>ST14/ ST15/ ST12</t>
  </si>
  <si>
    <t>ST15/ ST14</t>
  </si>
  <si>
    <t>ST14/ ST12/ ST15/ ST14</t>
  </si>
  <si>
    <t xml:space="preserve"> ST15 </t>
  </si>
  <si>
    <t>ST15/ ST14/ ST12</t>
  </si>
  <si>
    <t>ST14/ ST11</t>
  </si>
  <si>
    <t>ST14/ ST15/ ST11</t>
  </si>
  <si>
    <t xml:space="preserve">ST15 </t>
  </si>
  <si>
    <t>TK3/ NT2/ TK3</t>
  </si>
  <si>
    <t>TK3/ NT2/ TK3/ NT3</t>
  </si>
  <si>
    <t>Bleaching Earth dosing (%)</t>
  </si>
  <si>
    <t>TK 3</t>
  </si>
  <si>
    <t>ST12/ ST15</t>
  </si>
  <si>
    <t xml:space="preserve">ST12 </t>
  </si>
  <si>
    <t>ST12</t>
  </si>
  <si>
    <t>ST12/ST14</t>
  </si>
  <si>
    <t xml:space="preserve">PLANT STOPPED </t>
  </si>
  <si>
    <t xml:space="preserve">Plant stopped running on 29/10 and 30/10.  </t>
  </si>
  <si>
    <t>ST 14</t>
  </si>
  <si>
    <t>ST 14/ ST15</t>
  </si>
  <si>
    <t>TK 3/ NT1</t>
  </si>
  <si>
    <t xml:space="preserve">ST 14 </t>
  </si>
  <si>
    <t>TK 3/ NT2</t>
  </si>
  <si>
    <t>TK3/ TK4</t>
  </si>
  <si>
    <t>TK4</t>
  </si>
  <si>
    <t>TK4/ TK3</t>
  </si>
  <si>
    <t>TK3/ NT1/ TK4</t>
  </si>
  <si>
    <t>TK4/ TK6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</si>
</sst>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2" xfId="0" quotePrefix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quotePrefix="1" applyNumberForma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2" fontId="0" fillId="0" borderId="2" xfId="0" quotePrefix="1" applyNumberFormat="1" applyBorder="1" applyAlignment="1">
      <alignment horizontal="center" vertical="center"/>
    </xf>
    <xf numFmtId="165" fontId="0" fillId="5" borderId="2" xfId="0" quotePrefix="1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2" fontId="0" fillId="0" borderId="2" xfId="0" quotePrefix="1" applyNumberFormat="1" applyBorder="1" applyAlignment="1">
      <alignment horizontal="center"/>
    </xf>
    <xf numFmtId="165" fontId="0" fillId="7" borderId="2" xfId="0" quotePrefix="1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2" fontId="0" fillId="0" borderId="1" xfId="0" quotePrefix="1" applyNumberFormat="1" applyBorder="1" applyAlignment="1">
      <alignment horizontal="center"/>
    </xf>
    <xf numFmtId="164" fontId="0" fillId="7" borderId="2" xfId="0" applyNumberForma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2" fontId="3" fillId="7" borderId="3" xfId="0" applyNumberFormat="1" applyFont="1" applyFill="1" applyBorder="1" applyAlignment="1">
      <alignment horizontal="center" vertical="center"/>
    </xf>
    <xf numFmtId="2" fontId="3" fillId="7" borderId="5" xfId="0" applyNumberFormat="1" applyFont="1" applyFill="1" applyBorder="1" applyAlignment="1">
      <alignment horizontal="center" vertical="center"/>
    </xf>
    <xf numFmtId="2" fontId="3" fillId="7" borderId="6" xfId="0" applyNumberFormat="1" applyFont="1" applyFill="1" applyBorder="1" applyAlignment="1">
      <alignment horizontal="center" vertical="center"/>
    </xf>
    <xf numFmtId="164" fontId="1" fillId="7" borderId="8" xfId="0" applyNumberFormat="1" applyFont="1" applyFill="1" applyBorder="1" applyAlignment="1">
      <alignment horizontal="center" vertical="center"/>
    </xf>
    <xf numFmtId="164" fontId="1" fillId="7" borderId="14" xfId="0" applyNumberFormat="1" applyFont="1" applyFill="1" applyBorder="1" applyAlignment="1">
      <alignment horizontal="center" vertical="center"/>
    </xf>
    <xf numFmtId="164" fontId="1" fillId="7" borderId="9" xfId="0" applyNumberFormat="1" applyFont="1" applyFill="1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4" fontId="1" fillId="7" borderId="11" xfId="0" applyNumberFormat="1" applyFont="1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7" borderId="15" xfId="0" applyNumberFormat="1" applyFont="1" applyFill="1" applyBorder="1" applyAlignment="1">
      <alignment horizontal="center" vertical="center"/>
    </xf>
    <xf numFmtId="164" fontId="1" fillId="7" borderId="1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00FF00"/>
      <color rgb="FFFFFF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nnkr\AppData\Local\Microsoft\Windows\INetCache\Content.Outlook\PUWJEXFD\R3-OCTOBER%202025.xls" TargetMode="External"/><Relationship Id="rId1" Type="http://schemas.openxmlformats.org/officeDocument/2006/relationships/externalLinkPath" Target="/Users/ponnkr/AppData/Local/Microsoft/Windows/INetCache/Content.Outlook/PUWJEXFD/R3-OCTOBER%20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nnkr\Documents\LAB%20DATA%20COMPILATION\R3-NOVEMBER%202025.xls" TargetMode="External"/><Relationship Id="rId1" Type="http://schemas.openxmlformats.org/officeDocument/2006/relationships/externalLinkPath" Target="/Users/ponnkr/Documents/LAB%20DATA%20COMPILATION/R3-NOVEMBER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1025"/>
      <sheetName val="021025"/>
      <sheetName val="031025"/>
      <sheetName val="041025"/>
      <sheetName val="051025"/>
      <sheetName val="061025"/>
      <sheetName val="071025"/>
      <sheetName val="081025"/>
      <sheetName val="091025"/>
      <sheetName val="101025"/>
      <sheetName val="111025"/>
      <sheetName val="121025"/>
      <sheetName val="131025"/>
      <sheetName val="141025"/>
      <sheetName val="151025"/>
      <sheetName val="161025"/>
      <sheetName val="171025"/>
      <sheetName val="181025"/>
      <sheetName val="191025"/>
      <sheetName val="201025"/>
      <sheetName val="211025"/>
      <sheetName val="221025"/>
      <sheetName val="231025"/>
      <sheetName val="241025"/>
      <sheetName val="251025"/>
      <sheetName val="271025"/>
      <sheetName val="261025"/>
      <sheetName val="281025"/>
      <sheetName val="291025"/>
      <sheetName val="Sheet30"/>
      <sheetName val="311025"/>
      <sheetName val="Sheet32"/>
    </sheetNames>
    <sheetDataSet>
      <sheetData sheetId="0">
        <row r="8">
          <cell r="C8">
            <v>4.28</v>
          </cell>
          <cell r="D8">
            <v>0.23</v>
          </cell>
          <cell r="E8">
            <v>52.89</v>
          </cell>
          <cell r="F8">
            <v>2.25</v>
          </cell>
          <cell r="G8">
            <v>452</v>
          </cell>
        </row>
        <row r="9">
          <cell r="C9">
            <v>4.2699999999999996</v>
          </cell>
          <cell r="D9">
            <v>0.21</v>
          </cell>
          <cell r="E9">
            <v>52.82</v>
          </cell>
          <cell r="F9">
            <v>2.15</v>
          </cell>
          <cell r="G9">
            <v>460</v>
          </cell>
        </row>
      </sheetData>
      <sheetData sheetId="1">
        <row r="8">
          <cell r="C8">
            <v>4.22</v>
          </cell>
          <cell r="D8">
            <v>0.23</v>
          </cell>
          <cell r="E8">
            <v>52.94</v>
          </cell>
          <cell r="F8">
            <v>2.1800000000000002</v>
          </cell>
          <cell r="G8">
            <v>456</v>
          </cell>
        </row>
        <row r="9">
          <cell r="C9">
            <v>4.21</v>
          </cell>
          <cell r="D9">
            <v>0.21</v>
          </cell>
          <cell r="E9">
            <v>52.69</v>
          </cell>
          <cell r="F9">
            <v>2.2000000000000002</v>
          </cell>
          <cell r="G9">
            <v>462</v>
          </cell>
        </row>
      </sheetData>
      <sheetData sheetId="2">
        <row r="8">
          <cell r="C8">
            <v>4.4000000000000004</v>
          </cell>
          <cell r="D8">
            <v>0.22</v>
          </cell>
          <cell r="E8">
            <v>52.87</v>
          </cell>
          <cell r="F8">
            <v>2.21</v>
          </cell>
          <cell r="G8">
            <v>445</v>
          </cell>
        </row>
        <row r="9">
          <cell r="C9">
            <v>4.3499999999999996</v>
          </cell>
          <cell r="D9">
            <v>0.21</v>
          </cell>
          <cell r="E9">
            <v>52.8</v>
          </cell>
          <cell r="F9">
            <v>2.2200000000000002</v>
          </cell>
          <cell r="G9">
            <v>452</v>
          </cell>
        </row>
      </sheetData>
      <sheetData sheetId="3">
        <row r="8">
          <cell r="C8">
            <v>4.21</v>
          </cell>
          <cell r="D8">
            <v>0.22</v>
          </cell>
          <cell r="E8">
            <v>52.7</v>
          </cell>
          <cell r="F8">
            <v>2.1800000000000002</v>
          </cell>
          <cell r="G8">
            <v>441</v>
          </cell>
        </row>
        <row r="9">
          <cell r="C9">
            <v>4.22</v>
          </cell>
          <cell r="D9">
            <v>0.23</v>
          </cell>
          <cell r="E9">
            <v>52.92</v>
          </cell>
          <cell r="F9">
            <v>2.29</v>
          </cell>
          <cell r="G9">
            <v>452</v>
          </cell>
        </row>
      </sheetData>
      <sheetData sheetId="4">
        <row r="8">
          <cell r="C8">
            <v>4.2</v>
          </cell>
          <cell r="D8">
            <v>0.22</v>
          </cell>
          <cell r="E8">
            <v>52.74</v>
          </cell>
          <cell r="F8">
            <v>2.2200000000000002</v>
          </cell>
          <cell r="G8">
            <v>441</v>
          </cell>
        </row>
        <row r="9">
          <cell r="C9">
            <v>4.09</v>
          </cell>
          <cell r="D9">
            <v>0.23</v>
          </cell>
          <cell r="E9">
            <v>52.74</v>
          </cell>
          <cell r="F9">
            <v>2.27</v>
          </cell>
          <cell r="G9">
            <v>449</v>
          </cell>
        </row>
      </sheetData>
      <sheetData sheetId="5">
        <row r="8">
          <cell r="C8">
            <v>4.2</v>
          </cell>
          <cell r="D8">
            <v>0.21</v>
          </cell>
          <cell r="E8">
            <v>52.75</v>
          </cell>
          <cell r="F8">
            <v>2.2599999999999998</v>
          </cell>
          <cell r="G8">
            <v>461</v>
          </cell>
        </row>
        <row r="9">
          <cell r="C9">
            <v>4.3</v>
          </cell>
          <cell r="D9">
            <v>0.22</v>
          </cell>
          <cell r="E9">
            <v>52.76</v>
          </cell>
          <cell r="F9">
            <v>2.27</v>
          </cell>
          <cell r="G9">
            <v>457</v>
          </cell>
        </row>
      </sheetData>
      <sheetData sheetId="6">
        <row r="8">
          <cell r="C8">
            <v>4.24</v>
          </cell>
          <cell r="D8">
            <v>0.21</v>
          </cell>
          <cell r="E8">
            <v>52.49</v>
          </cell>
          <cell r="F8">
            <v>2.25</v>
          </cell>
          <cell r="G8">
            <v>465</v>
          </cell>
        </row>
        <row r="9">
          <cell r="C9">
            <v>4.1100000000000003</v>
          </cell>
          <cell r="D9">
            <v>0.23</v>
          </cell>
          <cell r="E9">
            <v>52.61</v>
          </cell>
          <cell r="F9">
            <v>2.19</v>
          </cell>
          <cell r="G9">
            <v>448</v>
          </cell>
        </row>
      </sheetData>
      <sheetData sheetId="7">
        <row r="8">
          <cell r="C8">
            <v>3.93</v>
          </cell>
          <cell r="D8">
            <v>0.21</v>
          </cell>
          <cell r="E8">
            <v>52.75</v>
          </cell>
          <cell r="F8">
            <v>2.25</v>
          </cell>
          <cell r="G8">
            <v>463</v>
          </cell>
        </row>
        <row r="9">
          <cell r="C9">
            <v>4.0599999999999996</v>
          </cell>
          <cell r="D9">
            <v>0.21</v>
          </cell>
          <cell r="E9">
            <v>52.89</v>
          </cell>
          <cell r="F9">
            <v>2.21</v>
          </cell>
          <cell r="G9">
            <v>447</v>
          </cell>
        </row>
      </sheetData>
      <sheetData sheetId="8">
        <row r="8">
          <cell r="C8">
            <v>4.1100000000000003</v>
          </cell>
          <cell r="D8">
            <v>0.23</v>
          </cell>
          <cell r="E8">
            <v>53.01</v>
          </cell>
          <cell r="F8">
            <v>2.1</v>
          </cell>
          <cell r="G8">
            <v>442</v>
          </cell>
        </row>
        <row r="9">
          <cell r="C9">
            <v>4.2699999999999996</v>
          </cell>
          <cell r="D9">
            <v>0.21</v>
          </cell>
          <cell r="E9">
            <v>52.75</v>
          </cell>
          <cell r="F9">
            <v>2.16</v>
          </cell>
          <cell r="G9">
            <v>439</v>
          </cell>
        </row>
      </sheetData>
      <sheetData sheetId="9">
        <row r="8">
          <cell r="C8">
            <v>4.05</v>
          </cell>
          <cell r="D8">
            <v>0.23</v>
          </cell>
          <cell r="E8">
            <v>53.04</v>
          </cell>
          <cell r="F8">
            <v>2.25</v>
          </cell>
          <cell r="G8">
            <v>434</v>
          </cell>
        </row>
        <row r="9">
          <cell r="C9">
            <v>4.1900000000000004</v>
          </cell>
          <cell r="D9">
            <v>0.22</v>
          </cell>
          <cell r="E9">
            <v>53.01</v>
          </cell>
          <cell r="F9">
            <v>2.29</v>
          </cell>
          <cell r="G9">
            <v>447</v>
          </cell>
        </row>
      </sheetData>
      <sheetData sheetId="10">
        <row r="8">
          <cell r="C8">
            <v>4.1399999999999997</v>
          </cell>
          <cell r="D8">
            <v>0.23</v>
          </cell>
          <cell r="E8">
            <v>52.89</v>
          </cell>
          <cell r="F8">
            <v>2.2200000000000002</v>
          </cell>
          <cell r="G8">
            <v>439</v>
          </cell>
        </row>
        <row r="9">
          <cell r="C9">
            <v>4.22</v>
          </cell>
          <cell r="D9">
            <v>0.23</v>
          </cell>
          <cell r="E9">
            <v>52.82</v>
          </cell>
          <cell r="F9">
            <v>2.2599999999999998</v>
          </cell>
          <cell r="G9">
            <v>453</v>
          </cell>
        </row>
      </sheetData>
      <sheetData sheetId="11">
        <row r="8">
          <cell r="C8">
            <v>4.1900000000000004</v>
          </cell>
          <cell r="D8">
            <v>0.23</v>
          </cell>
          <cell r="E8">
            <v>52.95</v>
          </cell>
          <cell r="F8">
            <v>2.2799999999999998</v>
          </cell>
          <cell r="G8">
            <v>451</v>
          </cell>
        </row>
        <row r="9">
          <cell r="C9">
            <v>4.32</v>
          </cell>
          <cell r="D9">
            <v>0.21</v>
          </cell>
          <cell r="E9">
            <v>52.47</v>
          </cell>
          <cell r="F9">
            <v>2.25</v>
          </cell>
          <cell r="G9">
            <v>463</v>
          </cell>
        </row>
      </sheetData>
      <sheetData sheetId="12">
        <row r="8">
          <cell r="C8">
            <v>4.25</v>
          </cell>
          <cell r="D8">
            <v>0.22</v>
          </cell>
          <cell r="E8">
            <v>52.41</v>
          </cell>
          <cell r="F8">
            <v>2.21</v>
          </cell>
          <cell r="G8">
            <v>452</v>
          </cell>
        </row>
        <row r="9">
          <cell r="C9">
            <v>4.1900000000000004</v>
          </cell>
          <cell r="D9">
            <v>0.23</v>
          </cell>
          <cell r="E9">
            <v>52.83</v>
          </cell>
          <cell r="F9">
            <v>2.2400000000000002</v>
          </cell>
          <cell r="G9">
            <v>458</v>
          </cell>
        </row>
      </sheetData>
      <sheetData sheetId="13">
        <row r="8">
          <cell r="C8">
            <v>4.1900000000000004</v>
          </cell>
          <cell r="D8">
            <v>0.23</v>
          </cell>
          <cell r="E8">
            <v>52.77</v>
          </cell>
          <cell r="F8">
            <v>2.2200000000000002</v>
          </cell>
          <cell r="G8">
            <v>450</v>
          </cell>
        </row>
        <row r="9">
          <cell r="C9">
            <v>4.1100000000000003</v>
          </cell>
          <cell r="D9">
            <v>0.21</v>
          </cell>
          <cell r="E9">
            <v>52.43</v>
          </cell>
          <cell r="F9">
            <v>2.21</v>
          </cell>
          <cell r="G9">
            <v>452</v>
          </cell>
        </row>
      </sheetData>
      <sheetData sheetId="14">
        <row r="8">
          <cell r="C8">
            <v>4.04</v>
          </cell>
          <cell r="D8">
            <v>0.22</v>
          </cell>
          <cell r="E8">
            <v>52.46</v>
          </cell>
          <cell r="F8">
            <v>2.2200000000000002</v>
          </cell>
          <cell r="G8">
            <v>446</v>
          </cell>
        </row>
        <row r="9">
          <cell r="C9">
            <v>4.0199999999999996</v>
          </cell>
          <cell r="D9">
            <v>0.22</v>
          </cell>
          <cell r="E9">
            <v>52.47</v>
          </cell>
          <cell r="F9">
            <v>2.25</v>
          </cell>
          <cell r="G9">
            <v>470</v>
          </cell>
        </row>
      </sheetData>
      <sheetData sheetId="15">
        <row r="8">
          <cell r="C8">
            <v>3.92</v>
          </cell>
          <cell r="D8">
            <v>0.21</v>
          </cell>
          <cell r="E8">
            <v>52.52</v>
          </cell>
        </row>
        <row r="9">
          <cell r="C9">
            <v>3.98</v>
          </cell>
          <cell r="D9">
            <v>0.23</v>
          </cell>
          <cell r="E9">
            <v>52.66</v>
          </cell>
        </row>
      </sheetData>
      <sheetData sheetId="16">
        <row r="8">
          <cell r="C8">
            <v>4.1900000000000004</v>
          </cell>
          <cell r="D8">
            <v>0.22</v>
          </cell>
          <cell r="E8">
            <v>52.55</v>
          </cell>
          <cell r="F8">
            <v>2.27</v>
          </cell>
          <cell r="G8">
            <v>475</v>
          </cell>
        </row>
        <row r="9">
          <cell r="C9">
            <v>3.97</v>
          </cell>
          <cell r="D9">
            <v>0.23</v>
          </cell>
          <cell r="E9">
            <v>52.6</v>
          </cell>
          <cell r="F9">
            <v>2.29</v>
          </cell>
          <cell r="G9">
            <v>469</v>
          </cell>
        </row>
      </sheetData>
      <sheetData sheetId="17">
        <row r="8">
          <cell r="C8">
            <v>4</v>
          </cell>
          <cell r="D8">
            <v>0.22</v>
          </cell>
          <cell r="E8">
            <v>52.78</v>
          </cell>
          <cell r="F8">
            <v>2.2999999999999998</v>
          </cell>
          <cell r="G8">
            <v>481</v>
          </cell>
        </row>
        <row r="9">
          <cell r="C9">
            <v>4.0599999999999996</v>
          </cell>
          <cell r="D9">
            <v>0.23</v>
          </cell>
          <cell r="E9">
            <v>52.69</v>
          </cell>
          <cell r="F9">
            <v>2.33</v>
          </cell>
          <cell r="G9">
            <v>487</v>
          </cell>
        </row>
      </sheetData>
      <sheetData sheetId="18">
        <row r="8">
          <cell r="C8">
            <v>4.05</v>
          </cell>
          <cell r="D8">
            <v>0.21</v>
          </cell>
          <cell r="E8">
            <v>52.4</v>
          </cell>
          <cell r="F8">
            <v>2.2999999999999998</v>
          </cell>
          <cell r="G8">
            <v>479</v>
          </cell>
        </row>
        <row r="9">
          <cell r="C9">
            <v>4.1100000000000003</v>
          </cell>
          <cell r="D9">
            <v>0.23</v>
          </cell>
          <cell r="E9">
            <v>52.71</v>
          </cell>
          <cell r="F9">
            <v>2.29</v>
          </cell>
          <cell r="G9">
            <v>465</v>
          </cell>
        </row>
      </sheetData>
      <sheetData sheetId="19">
        <row r="8">
          <cell r="C8">
            <v>4.07</v>
          </cell>
          <cell r="D8">
            <v>0.21</v>
          </cell>
          <cell r="E8">
            <v>52.66</v>
          </cell>
          <cell r="F8">
            <v>2.27</v>
          </cell>
          <cell r="G8">
            <v>454</v>
          </cell>
        </row>
        <row r="9">
          <cell r="C9">
            <v>4.28</v>
          </cell>
          <cell r="D9">
            <v>0.24</v>
          </cell>
          <cell r="E9">
            <v>52.7</v>
          </cell>
          <cell r="F9">
            <v>2.21</v>
          </cell>
          <cell r="G9">
            <v>459</v>
          </cell>
        </row>
      </sheetData>
      <sheetData sheetId="20">
        <row r="8">
          <cell r="C8">
            <v>4.22</v>
          </cell>
          <cell r="D8">
            <v>0.21</v>
          </cell>
          <cell r="E8">
            <v>52.83</v>
          </cell>
          <cell r="F8">
            <v>2.0099999999999998</v>
          </cell>
          <cell r="G8">
            <v>467</v>
          </cell>
        </row>
        <row r="9">
          <cell r="C9">
            <v>4.2</v>
          </cell>
          <cell r="D9">
            <v>0.21</v>
          </cell>
          <cell r="E9">
            <v>52.86</v>
          </cell>
          <cell r="F9">
            <v>2.1</v>
          </cell>
          <cell r="G9">
            <v>442</v>
          </cell>
        </row>
      </sheetData>
      <sheetData sheetId="21">
        <row r="8">
          <cell r="C8">
            <v>4.13</v>
          </cell>
          <cell r="D8">
            <v>0.23</v>
          </cell>
          <cell r="E8">
            <v>52.9</v>
          </cell>
          <cell r="F8">
            <v>2.2799999999999998</v>
          </cell>
          <cell r="G8">
            <v>462</v>
          </cell>
        </row>
        <row r="9">
          <cell r="C9">
            <v>4.3099999999999996</v>
          </cell>
          <cell r="D9">
            <v>0.21</v>
          </cell>
          <cell r="E9">
            <v>52.92</v>
          </cell>
          <cell r="F9">
            <v>2.17</v>
          </cell>
          <cell r="G9">
            <v>440</v>
          </cell>
        </row>
      </sheetData>
      <sheetData sheetId="22">
        <row r="8">
          <cell r="C8">
            <v>4.1900000000000004</v>
          </cell>
          <cell r="D8">
            <v>0.24</v>
          </cell>
          <cell r="E8">
            <v>52.96</v>
          </cell>
          <cell r="F8">
            <v>2.3199999999999998</v>
          </cell>
          <cell r="G8">
            <v>478</v>
          </cell>
        </row>
        <row r="9">
          <cell r="C9">
            <v>4.2300000000000004</v>
          </cell>
          <cell r="D9">
            <v>0.21</v>
          </cell>
          <cell r="E9">
            <v>52.83</v>
          </cell>
          <cell r="F9">
            <v>2.29</v>
          </cell>
          <cell r="G9">
            <v>469</v>
          </cell>
        </row>
      </sheetData>
      <sheetData sheetId="23">
        <row r="8">
          <cell r="C8">
            <v>4.2</v>
          </cell>
          <cell r="D8">
            <v>0.24</v>
          </cell>
          <cell r="E8">
            <v>52.83</v>
          </cell>
          <cell r="F8">
            <v>2.44</v>
          </cell>
          <cell r="G8">
            <v>455</v>
          </cell>
        </row>
        <row r="9">
          <cell r="C9">
            <v>4.0199999999999996</v>
          </cell>
          <cell r="D9">
            <v>0.22</v>
          </cell>
          <cell r="E9">
            <v>52.93</v>
          </cell>
          <cell r="F9">
            <v>2.3199999999999998</v>
          </cell>
          <cell r="G9">
            <v>472</v>
          </cell>
        </row>
      </sheetData>
      <sheetData sheetId="24">
        <row r="8">
          <cell r="C8">
            <v>4.21</v>
          </cell>
          <cell r="D8">
            <v>0.21</v>
          </cell>
          <cell r="E8">
            <v>52.94</v>
          </cell>
          <cell r="F8">
            <v>2.21</v>
          </cell>
          <cell r="G8">
            <v>463</v>
          </cell>
        </row>
        <row r="9">
          <cell r="C9">
            <v>4.2300000000000004</v>
          </cell>
          <cell r="D9">
            <v>0.21</v>
          </cell>
          <cell r="E9">
            <v>52.58</v>
          </cell>
          <cell r="F9">
            <v>2.29</v>
          </cell>
          <cell r="G9">
            <v>460</v>
          </cell>
        </row>
      </sheetData>
      <sheetData sheetId="25">
        <row r="8">
          <cell r="C8">
            <v>4.13</v>
          </cell>
          <cell r="D8">
            <v>0.21</v>
          </cell>
          <cell r="E8">
            <v>52.59</v>
          </cell>
          <cell r="F8">
            <v>2.1800000000000002</v>
          </cell>
          <cell r="G8">
            <v>449</v>
          </cell>
        </row>
        <row r="9">
          <cell r="C9">
            <v>3.76</v>
          </cell>
          <cell r="D9">
            <v>0.23</v>
          </cell>
          <cell r="E9">
            <v>52.43</v>
          </cell>
          <cell r="F9">
            <v>2.25</v>
          </cell>
          <cell r="G9">
            <v>460</v>
          </cell>
        </row>
      </sheetData>
      <sheetData sheetId="26">
        <row r="8">
          <cell r="C8">
            <v>4.3099999999999996</v>
          </cell>
          <cell r="D8">
            <v>0.21</v>
          </cell>
          <cell r="E8">
            <v>52.79</v>
          </cell>
          <cell r="F8">
            <v>2.2400000000000002</v>
          </cell>
          <cell r="G8">
            <v>455</v>
          </cell>
        </row>
        <row r="9">
          <cell r="C9">
            <v>0.34</v>
          </cell>
          <cell r="D9">
            <v>0.21</v>
          </cell>
          <cell r="E9">
            <v>52.2</v>
          </cell>
          <cell r="F9">
            <v>2.2000000000000002</v>
          </cell>
          <cell r="G9">
            <v>430</v>
          </cell>
        </row>
      </sheetData>
      <sheetData sheetId="27">
        <row r="8">
          <cell r="C8">
            <v>3.92</v>
          </cell>
          <cell r="D8">
            <v>0.22</v>
          </cell>
          <cell r="E8">
            <v>52.85</v>
          </cell>
          <cell r="F8">
            <v>2.2599999999999998</v>
          </cell>
          <cell r="G8">
            <v>469</v>
          </cell>
        </row>
        <row r="9">
          <cell r="C9">
            <v>4.08</v>
          </cell>
          <cell r="D9">
            <v>0.23</v>
          </cell>
          <cell r="E9">
            <v>52.8</v>
          </cell>
          <cell r="F9">
            <v>2.35</v>
          </cell>
          <cell r="G9">
            <v>478</v>
          </cell>
        </row>
      </sheetData>
      <sheetData sheetId="28" refreshError="1"/>
      <sheetData sheetId="29" refreshError="1"/>
      <sheetData sheetId="30">
        <row r="8">
          <cell r="C8">
            <v>4.4000000000000004</v>
          </cell>
          <cell r="D8">
            <v>0.2</v>
          </cell>
          <cell r="E8">
            <v>52.66</v>
          </cell>
          <cell r="F8">
            <v>2.15</v>
          </cell>
          <cell r="G8">
            <v>455</v>
          </cell>
        </row>
        <row r="9">
          <cell r="C9">
            <v>4.0599999999999996</v>
          </cell>
          <cell r="D9">
            <v>0.21</v>
          </cell>
          <cell r="E9">
            <v>52.67</v>
          </cell>
          <cell r="F9">
            <v>2.21</v>
          </cell>
          <cell r="G9">
            <v>457</v>
          </cell>
        </row>
      </sheetData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1125"/>
      <sheetName val="021125"/>
      <sheetName val="031125"/>
      <sheetName val="041125"/>
      <sheetName val="051125"/>
      <sheetName val="061125"/>
      <sheetName val="071125"/>
      <sheetName val="081125"/>
      <sheetName val="091125"/>
      <sheetName val="101125"/>
      <sheetName val="111125"/>
      <sheetName val="121125"/>
      <sheetName val="131125"/>
      <sheetName val="141125"/>
      <sheetName val="151125"/>
      <sheetName val="161125"/>
      <sheetName val="171125"/>
      <sheetName val="181125"/>
      <sheetName val="191125"/>
      <sheetName val="201125"/>
      <sheetName val="211125"/>
      <sheetName val="221125"/>
      <sheetName val="231125"/>
      <sheetName val="241125"/>
      <sheetName val="251125"/>
      <sheetName val="261125"/>
      <sheetName val="271125"/>
      <sheetName val="281125"/>
      <sheetName val="291125"/>
      <sheetName val="301125"/>
      <sheetName val="Sheet31"/>
      <sheetName val="Sheet32"/>
    </sheetNames>
    <sheetDataSet>
      <sheetData sheetId="0">
        <row r="8">
          <cell r="C8">
            <v>4.41</v>
          </cell>
          <cell r="D8">
            <v>0.21</v>
          </cell>
          <cell r="E8">
            <v>52.43</v>
          </cell>
          <cell r="F8">
            <v>2.2000000000000002</v>
          </cell>
          <cell r="G8">
            <v>451</v>
          </cell>
        </row>
        <row r="9">
          <cell r="C9">
            <v>4.33</v>
          </cell>
          <cell r="D9">
            <v>0.22</v>
          </cell>
          <cell r="E9">
            <v>52.75</v>
          </cell>
          <cell r="F9">
            <v>2.2400000000000002</v>
          </cell>
          <cell r="G9">
            <v>441</v>
          </cell>
        </row>
      </sheetData>
      <sheetData sheetId="1">
        <row r="8">
          <cell r="C8">
            <v>4.0199999999999996</v>
          </cell>
          <cell r="D8">
            <v>0.21</v>
          </cell>
          <cell r="E8">
            <v>52.73</v>
          </cell>
          <cell r="F8">
            <v>2.2000000000000002</v>
          </cell>
          <cell r="G8">
            <v>447</v>
          </cell>
        </row>
        <row r="9">
          <cell r="C9">
            <v>4.04</v>
          </cell>
          <cell r="D9">
            <v>0.23</v>
          </cell>
          <cell r="E9">
            <v>52.87</v>
          </cell>
          <cell r="F9">
            <v>2.2000000000000002</v>
          </cell>
          <cell r="G9">
            <v>453</v>
          </cell>
        </row>
      </sheetData>
      <sheetData sheetId="2">
        <row r="8">
          <cell r="C8">
            <v>4.2</v>
          </cell>
          <cell r="D8">
            <v>0.24</v>
          </cell>
          <cell r="E8">
            <v>52.89</v>
          </cell>
          <cell r="F8">
            <v>2.29</v>
          </cell>
          <cell r="G8">
            <v>462</v>
          </cell>
        </row>
        <row r="9">
          <cell r="C9">
            <v>4.0199999999999996</v>
          </cell>
          <cell r="D9">
            <v>0.21</v>
          </cell>
          <cell r="E9">
            <v>52.43</v>
          </cell>
          <cell r="F9">
            <v>2.2400000000000002</v>
          </cell>
          <cell r="G9">
            <v>459</v>
          </cell>
        </row>
      </sheetData>
      <sheetData sheetId="3">
        <row r="8">
          <cell r="C8">
            <v>4.13</v>
          </cell>
          <cell r="D8">
            <v>0.23</v>
          </cell>
          <cell r="E8">
            <v>52.88</v>
          </cell>
          <cell r="F8">
            <v>2.25</v>
          </cell>
          <cell r="G8">
            <v>457</v>
          </cell>
        </row>
        <row r="9">
          <cell r="C9">
            <v>4.03</v>
          </cell>
          <cell r="D9">
            <v>0.24</v>
          </cell>
          <cell r="E9">
            <v>52.93</v>
          </cell>
          <cell r="F9">
            <v>2.2200000000000002</v>
          </cell>
          <cell r="G9">
            <v>448</v>
          </cell>
        </row>
      </sheetData>
      <sheetData sheetId="4">
        <row r="8">
          <cell r="C8">
            <v>4.17</v>
          </cell>
          <cell r="D8">
            <v>0.22</v>
          </cell>
          <cell r="E8">
            <v>52.43</v>
          </cell>
          <cell r="F8">
            <v>2.31</v>
          </cell>
          <cell r="G8">
            <v>472</v>
          </cell>
        </row>
        <row r="9">
          <cell r="C9">
            <v>3.97</v>
          </cell>
          <cell r="D9">
            <v>0.23</v>
          </cell>
          <cell r="E9">
            <v>52.73</v>
          </cell>
          <cell r="F9">
            <v>2.25</v>
          </cell>
          <cell r="G9">
            <v>463</v>
          </cell>
        </row>
      </sheetData>
      <sheetData sheetId="5">
        <row r="8">
          <cell r="C8">
            <v>3.87</v>
          </cell>
          <cell r="D8">
            <v>0.22</v>
          </cell>
          <cell r="E8">
            <v>52.83</v>
          </cell>
          <cell r="F8">
            <v>2.21</v>
          </cell>
          <cell r="G8">
            <v>451</v>
          </cell>
        </row>
        <row r="9">
          <cell r="C9">
            <v>3.98</v>
          </cell>
          <cell r="D9">
            <v>0.21</v>
          </cell>
          <cell r="E9">
            <v>52.78</v>
          </cell>
          <cell r="F9">
            <v>2.23</v>
          </cell>
          <cell r="G9">
            <v>454</v>
          </cell>
        </row>
      </sheetData>
      <sheetData sheetId="6">
        <row r="8">
          <cell r="C8">
            <v>4</v>
          </cell>
          <cell r="D8">
            <v>0.22</v>
          </cell>
          <cell r="E8">
            <v>52.81</v>
          </cell>
          <cell r="F8">
            <v>2.2400000000000002</v>
          </cell>
          <cell r="G8">
            <v>468</v>
          </cell>
        </row>
        <row r="9">
          <cell r="C9">
            <v>3.91</v>
          </cell>
          <cell r="D9">
            <v>0.21</v>
          </cell>
          <cell r="E9">
            <v>52.46</v>
          </cell>
          <cell r="F9">
            <v>2.21</v>
          </cell>
          <cell r="G9">
            <v>465</v>
          </cell>
        </row>
      </sheetData>
      <sheetData sheetId="7">
        <row r="8">
          <cell r="C8">
            <v>3.9</v>
          </cell>
          <cell r="D8">
            <v>0.22</v>
          </cell>
          <cell r="E8">
            <v>52.61</v>
          </cell>
          <cell r="F8">
            <v>2.19</v>
          </cell>
          <cell r="G8">
            <v>455</v>
          </cell>
        </row>
        <row r="9">
          <cell r="C9">
            <v>4.26</v>
          </cell>
          <cell r="D9">
            <v>0.41</v>
          </cell>
          <cell r="E9">
            <v>52.93</v>
          </cell>
          <cell r="F9">
            <v>2.0499999999999998</v>
          </cell>
          <cell r="G9">
            <v>446</v>
          </cell>
        </row>
        <row r="10">
          <cell r="C10">
            <v>4.3099999999999996</v>
          </cell>
          <cell r="D10">
            <v>0.31</v>
          </cell>
          <cell r="E10">
            <v>52.83</v>
          </cell>
          <cell r="F10">
            <v>2.0699999999999998</v>
          </cell>
          <cell r="G10">
            <v>442</v>
          </cell>
        </row>
        <row r="11">
          <cell r="C11">
            <v>4.3099999999999996</v>
          </cell>
          <cell r="D11">
            <v>0.21</v>
          </cell>
          <cell r="E11">
            <v>52.58</v>
          </cell>
          <cell r="F11">
            <v>2.2599999999999998</v>
          </cell>
          <cell r="G11">
            <v>461</v>
          </cell>
        </row>
      </sheetData>
      <sheetData sheetId="8">
        <row r="8">
          <cell r="C8">
            <v>3.96</v>
          </cell>
          <cell r="D8">
            <v>0.24</v>
          </cell>
          <cell r="E8">
            <v>52.62</v>
          </cell>
          <cell r="F8">
            <v>2.15</v>
          </cell>
          <cell r="G8">
            <v>491</v>
          </cell>
        </row>
        <row r="9">
          <cell r="C9">
            <v>3.78</v>
          </cell>
          <cell r="D9">
            <v>0.23</v>
          </cell>
          <cell r="E9">
            <v>52.75</v>
          </cell>
          <cell r="F9">
            <v>2.19</v>
          </cell>
          <cell r="G9">
            <v>479</v>
          </cell>
        </row>
      </sheetData>
      <sheetData sheetId="9">
        <row r="8">
          <cell r="C8">
            <v>3.9</v>
          </cell>
          <cell r="D8">
            <v>0.2</v>
          </cell>
          <cell r="E8">
            <v>52.67</v>
          </cell>
          <cell r="F8">
            <v>2.25</v>
          </cell>
          <cell r="G8">
            <v>475</v>
          </cell>
        </row>
        <row r="9">
          <cell r="C9">
            <v>4.46</v>
          </cell>
          <cell r="D9">
            <v>0.52</v>
          </cell>
          <cell r="E9">
            <v>52.59</v>
          </cell>
          <cell r="F9">
            <v>2.0299999999999998</v>
          </cell>
          <cell r="G9">
            <v>406</v>
          </cell>
        </row>
        <row r="10">
          <cell r="C10">
            <v>4.4400000000000004</v>
          </cell>
          <cell r="D10">
            <v>0.51</v>
          </cell>
          <cell r="E10">
            <v>52.93</v>
          </cell>
          <cell r="F10">
            <v>2.29</v>
          </cell>
          <cell r="G10">
            <v>478</v>
          </cell>
        </row>
        <row r="11">
          <cell r="C11">
            <v>3.87</v>
          </cell>
          <cell r="D11">
            <v>0.23</v>
          </cell>
          <cell r="E11">
            <v>52.9</v>
          </cell>
          <cell r="F11">
            <v>2.3199999999999998</v>
          </cell>
          <cell r="G11">
            <v>482</v>
          </cell>
        </row>
      </sheetData>
      <sheetData sheetId="10">
        <row r="8">
          <cell r="C8">
            <v>3.91</v>
          </cell>
          <cell r="D8">
            <v>0.2</v>
          </cell>
          <cell r="E8">
            <v>52.63</v>
          </cell>
          <cell r="F8">
            <v>2.2999999999999998</v>
          </cell>
          <cell r="G8">
            <v>463</v>
          </cell>
        </row>
        <row r="9">
          <cell r="C9">
            <v>3.87</v>
          </cell>
          <cell r="D9">
            <v>0.24</v>
          </cell>
          <cell r="E9">
            <v>52.53</v>
          </cell>
          <cell r="F9">
            <v>2.27</v>
          </cell>
          <cell r="G9">
            <v>462</v>
          </cell>
        </row>
      </sheetData>
      <sheetData sheetId="11">
        <row r="8">
          <cell r="C8">
            <v>3.97</v>
          </cell>
          <cell r="D8">
            <v>0.2</v>
          </cell>
          <cell r="E8">
            <v>52.66</v>
          </cell>
          <cell r="F8">
            <v>2.34</v>
          </cell>
          <cell r="G8">
            <v>455</v>
          </cell>
        </row>
        <row r="9">
          <cell r="C9">
            <v>3.91</v>
          </cell>
          <cell r="D9">
            <v>0.24</v>
          </cell>
          <cell r="E9">
            <v>52.75</v>
          </cell>
          <cell r="F9">
            <v>2.29</v>
          </cell>
          <cell r="G9">
            <v>459</v>
          </cell>
        </row>
      </sheetData>
      <sheetData sheetId="12">
        <row r="8">
          <cell r="C8">
            <v>4.08</v>
          </cell>
          <cell r="D8">
            <v>0.21</v>
          </cell>
          <cell r="E8">
            <v>52.85</v>
          </cell>
          <cell r="F8">
            <v>2.2799999999999998</v>
          </cell>
          <cell r="G8">
            <v>462</v>
          </cell>
        </row>
        <row r="9">
          <cell r="C9">
            <v>4.05</v>
          </cell>
          <cell r="D9">
            <v>0.22</v>
          </cell>
          <cell r="E9">
            <v>52.45</v>
          </cell>
          <cell r="F9">
            <v>2.33</v>
          </cell>
          <cell r="G9">
            <v>476</v>
          </cell>
        </row>
      </sheetData>
      <sheetData sheetId="13">
        <row r="8">
          <cell r="C8">
            <v>3.98</v>
          </cell>
          <cell r="D8">
            <v>0.23</v>
          </cell>
          <cell r="E8">
            <v>52.71</v>
          </cell>
          <cell r="F8">
            <v>2.23</v>
          </cell>
          <cell r="G8">
            <v>468</v>
          </cell>
        </row>
        <row r="9">
          <cell r="C9">
            <v>3.86</v>
          </cell>
          <cell r="D9">
            <v>0.89</v>
          </cell>
          <cell r="E9">
            <v>52.45</v>
          </cell>
          <cell r="F9">
            <v>2.13</v>
          </cell>
          <cell r="G9">
            <v>448</v>
          </cell>
        </row>
        <row r="10">
          <cell r="C10">
            <v>3.46</v>
          </cell>
          <cell r="D10">
            <v>0.73</v>
          </cell>
          <cell r="E10">
            <v>53.06</v>
          </cell>
          <cell r="F10">
            <v>2.1800000000000002</v>
          </cell>
          <cell r="G10">
            <v>440</v>
          </cell>
        </row>
        <row r="11">
          <cell r="C11">
            <v>3.91</v>
          </cell>
          <cell r="D11">
            <v>0.23</v>
          </cell>
          <cell r="E11">
            <v>52.78</v>
          </cell>
          <cell r="F11">
            <v>2.27</v>
          </cell>
          <cell r="G11">
            <v>459</v>
          </cell>
        </row>
      </sheetData>
      <sheetData sheetId="14">
        <row r="8">
          <cell r="C8">
            <v>3.87</v>
          </cell>
          <cell r="D8">
            <v>0.23</v>
          </cell>
          <cell r="E8">
            <v>52.55</v>
          </cell>
          <cell r="F8">
            <v>2.21</v>
          </cell>
          <cell r="G8">
            <v>452</v>
          </cell>
        </row>
        <row r="9">
          <cell r="C9">
            <v>3.95</v>
          </cell>
          <cell r="D9">
            <v>0.22</v>
          </cell>
          <cell r="E9">
            <v>52.61</v>
          </cell>
          <cell r="F9">
            <v>2.2400000000000002</v>
          </cell>
          <cell r="G9">
            <v>447</v>
          </cell>
        </row>
      </sheetData>
      <sheetData sheetId="15">
        <row r="8">
          <cell r="C8">
            <v>3.97</v>
          </cell>
          <cell r="D8">
            <v>0.23</v>
          </cell>
          <cell r="E8">
            <v>52.79</v>
          </cell>
          <cell r="F8">
            <v>2.2599999999999998</v>
          </cell>
          <cell r="G8">
            <v>461</v>
          </cell>
        </row>
        <row r="9">
          <cell r="C9">
            <v>4.07</v>
          </cell>
          <cell r="D9">
            <v>0.22</v>
          </cell>
          <cell r="E9">
            <v>52.99</v>
          </cell>
          <cell r="F9">
            <v>2.29</v>
          </cell>
          <cell r="G9">
            <v>452</v>
          </cell>
        </row>
      </sheetData>
      <sheetData sheetId="16">
        <row r="8">
          <cell r="C8">
            <v>4.04</v>
          </cell>
          <cell r="D8">
            <v>0.23</v>
          </cell>
          <cell r="E8">
            <v>52.58</v>
          </cell>
          <cell r="F8">
            <v>2.31</v>
          </cell>
          <cell r="G8">
            <v>478</v>
          </cell>
        </row>
        <row r="9">
          <cell r="C9">
            <v>3.94</v>
          </cell>
          <cell r="D9">
            <v>0.2</v>
          </cell>
          <cell r="E9">
            <v>52.1</v>
          </cell>
          <cell r="F9">
            <v>2.2799999999999998</v>
          </cell>
          <cell r="G9">
            <v>462</v>
          </cell>
        </row>
      </sheetData>
      <sheetData sheetId="17">
        <row r="8">
          <cell r="C8">
            <v>4.13</v>
          </cell>
          <cell r="D8">
            <v>0.23</v>
          </cell>
          <cell r="E8">
            <v>52.63</v>
          </cell>
          <cell r="F8">
            <v>2.2400000000000002</v>
          </cell>
        </row>
        <row r="9">
          <cell r="C9">
            <v>3.82</v>
          </cell>
          <cell r="D9">
            <v>0.21</v>
          </cell>
          <cell r="E9">
            <v>52.45</v>
          </cell>
          <cell r="F9">
            <v>2.29</v>
          </cell>
        </row>
      </sheetData>
      <sheetData sheetId="18">
        <row r="8">
          <cell r="C8">
            <v>4.05</v>
          </cell>
          <cell r="D8">
            <v>0.22</v>
          </cell>
          <cell r="E8">
            <v>52.56</v>
          </cell>
          <cell r="F8">
            <v>2.29</v>
          </cell>
          <cell r="G8">
            <v>461</v>
          </cell>
        </row>
        <row r="9">
          <cell r="C9">
            <v>3.96</v>
          </cell>
          <cell r="D9">
            <v>0.21</v>
          </cell>
          <cell r="E9">
            <v>52.48</v>
          </cell>
          <cell r="F9">
            <v>2.2999999999999998</v>
          </cell>
          <cell r="G9">
            <v>483</v>
          </cell>
        </row>
      </sheetData>
      <sheetData sheetId="19">
        <row r="8">
          <cell r="C8">
            <v>3.91</v>
          </cell>
          <cell r="D8">
            <v>0.21</v>
          </cell>
          <cell r="E8">
            <v>52.66</v>
          </cell>
          <cell r="F8">
            <v>2.27</v>
          </cell>
          <cell r="G8">
            <v>441</v>
          </cell>
        </row>
        <row r="9">
          <cell r="C9">
            <v>3.99</v>
          </cell>
          <cell r="D9">
            <v>0.21</v>
          </cell>
          <cell r="E9">
            <v>52.46</v>
          </cell>
          <cell r="F9">
            <v>2.2999999999999998</v>
          </cell>
          <cell r="G9">
            <v>461</v>
          </cell>
        </row>
      </sheetData>
      <sheetData sheetId="20">
        <row r="8">
          <cell r="C8">
            <v>3.97</v>
          </cell>
          <cell r="D8">
            <v>0.19</v>
          </cell>
          <cell r="E8">
            <v>52.83</v>
          </cell>
          <cell r="F8">
            <v>2.23</v>
          </cell>
          <cell r="G8">
            <v>449</v>
          </cell>
        </row>
        <row r="9">
          <cell r="C9">
            <v>4.1100000000000003</v>
          </cell>
          <cell r="D9">
            <v>0.2</v>
          </cell>
          <cell r="E9">
            <v>52.55</v>
          </cell>
          <cell r="F9">
            <v>2.2000000000000002</v>
          </cell>
          <cell r="G9">
            <v>435</v>
          </cell>
        </row>
        <row r="10">
          <cell r="C10">
            <v>4.07</v>
          </cell>
          <cell r="D10">
            <v>0.21</v>
          </cell>
          <cell r="E10">
            <v>52.69</v>
          </cell>
          <cell r="F10">
            <v>2.17</v>
          </cell>
          <cell r="G10">
            <v>445</v>
          </cell>
        </row>
        <row r="11">
          <cell r="C11">
            <v>4.07</v>
          </cell>
          <cell r="D11">
            <v>0.2</v>
          </cell>
          <cell r="E11">
            <v>52.81</v>
          </cell>
          <cell r="F11">
            <v>2.29</v>
          </cell>
          <cell r="G11">
            <v>467</v>
          </cell>
        </row>
      </sheetData>
      <sheetData sheetId="21">
        <row r="8">
          <cell r="C8">
            <v>4.1399999999999997</v>
          </cell>
          <cell r="D8">
            <v>0.21</v>
          </cell>
          <cell r="E8">
            <v>52.6</v>
          </cell>
          <cell r="F8">
            <v>2.2000000000000002</v>
          </cell>
          <cell r="G8">
            <v>449</v>
          </cell>
        </row>
        <row r="9">
          <cell r="C9">
            <v>4.09</v>
          </cell>
          <cell r="D9">
            <v>0.19</v>
          </cell>
          <cell r="F9">
            <v>2.2599999999999998</v>
          </cell>
          <cell r="G9">
            <v>445</v>
          </cell>
        </row>
      </sheetData>
      <sheetData sheetId="22">
        <row r="8">
          <cell r="C8">
            <v>4.09</v>
          </cell>
          <cell r="D8">
            <v>0.2</v>
          </cell>
          <cell r="E8">
            <v>52.87</v>
          </cell>
          <cell r="F8">
            <v>2.21</v>
          </cell>
          <cell r="G8">
            <v>450</v>
          </cell>
        </row>
        <row r="9">
          <cell r="C9">
            <v>4.0599999999999996</v>
          </cell>
          <cell r="D9">
            <v>0.23</v>
          </cell>
          <cell r="E9">
            <v>52.92</v>
          </cell>
          <cell r="F9">
            <v>2.23</v>
          </cell>
          <cell r="G9">
            <v>448</v>
          </cell>
        </row>
      </sheetData>
      <sheetData sheetId="23">
        <row r="8">
          <cell r="C8">
            <v>4.01</v>
          </cell>
          <cell r="D8">
            <v>0.2</v>
          </cell>
          <cell r="E8">
            <v>52.68</v>
          </cell>
          <cell r="F8">
            <v>2.2000000000000002</v>
          </cell>
          <cell r="G8">
            <v>451</v>
          </cell>
        </row>
        <row r="9">
          <cell r="C9">
            <v>3.96</v>
          </cell>
          <cell r="D9">
            <v>0.21</v>
          </cell>
          <cell r="E9">
            <v>52.97</v>
          </cell>
          <cell r="F9">
            <v>2.2200000000000002</v>
          </cell>
          <cell r="G9">
            <v>443</v>
          </cell>
        </row>
      </sheetData>
      <sheetData sheetId="24">
        <row r="8">
          <cell r="C8">
            <v>4.13</v>
          </cell>
          <cell r="D8">
            <v>0.2</v>
          </cell>
          <cell r="E8">
            <v>52.9</v>
          </cell>
          <cell r="F8">
            <v>2.2200000000000002</v>
          </cell>
          <cell r="G8">
            <v>467</v>
          </cell>
        </row>
        <row r="9">
          <cell r="C9">
            <v>4.16</v>
          </cell>
          <cell r="D9">
            <v>0.21</v>
          </cell>
          <cell r="E9">
            <v>53</v>
          </cell>
          <cell r="F9">
            <v>2.2000000000000002</v>
          </cell>
          <cell r="G9">
            <v>460</v>
          </cell>
        </row>
      </sheetData>
      <sheetData sheetId="25">
        <row r="8">
          <cell r="C8">
            <v>3.85</v>
          </cell>
          <cell r="D8">
            <v>0.21</v>
          </cell>
          <cell r="E8">
            <v>52.78</v>
          </cell>
          <cell r="F8">
            <v>2.25</v>
          </cell>
          <cell r="G8">
            <v>478</v>
          </cell>
        </row>
        <row r="9">
          <cell r="C9">
            <v>3.96</v>
          </cell>
          <cell r="D9">
            <v>0.2</v>
          </cell>
          <cell r="E9">
            <v>52.99</v>
          </cell>
          <cell r="F9">
            <v>2.2799999999999998</v>
          </cell>
          <cell r="G9">
            <v>469</v>
          </cell>
        </row>
      </sheetData>
      <sheetData sheetId="26">
        <row r="8">
          <cell r="C8">
            <v>4.28</v>
          </cell>
          <cell r="D8">
            <v>0.23</v>
          </cell>
          <cell r="E8">
            <v>52.92</v>
          </cell>
          <cell r="F8">
            <v>2.2400000000000002</v>
          </cell>
          <cell r="G8">
            <v>451</v>
          </cell>
        </row>
        <row r="9">
          <cell r="C9">
            <v>4.24</v>
          </cell>
          <cell r="D9">
            <v>0.21</v>
          </cell>
          <cell r="E9">
            <v>52.74</v>
          </cell>
          <cell r="F9">
            <v>2.29</v>
          </cell>
          <cell r="G9">
            <v>467</v>
          </cell>
        </row>
      </sheetData>
      <sheetData sheetId="27">
        <row r="8">
          <cell r="C8">
            <v>4.01</v>
          </cell>
          <cell r="D8">
            <v>0.24</v>
          </cell>
          <cell r="E8">
            <v>52.99</v>
          </cell>
          <cell r="F8">
            <v>2.2000000000000002</v>
          </cell>
          <cell r="G8">
            <v>453</v>
          </cell>
        </row>
        <row r="9">
          <cell r="C9">
            <v>4.1399999999999997</v>
          </cell>
          <cell r="D9">
            <v>0.2</v>
          </cell>
          <cell r="E9">
            <v>52.91</v>
          </cell>
          <cell r="F9">
            <v>2.23</v>
          </cell>
          <cell r="G9">
            <v>448</v>
          </cell>
        </row>
      </sheetData>
      <sheetData sheetId="28">
        <row r="8">
          <cell r="C8">
            <v>4.04</v>
          </cell>
          <cell r="D8">
            <v>0.23</v>
          </cell>
          <cell r="E8">
            <v>52.98</v>
          </cell>
          <cell r="F8">
            <v>2.34</v>
          </cell>
          <cell r="G8">
            <v>478</v>
          </cell>
        </row>
        <row r="9">
          <cell r="C9">
            <v>4.13</v>
          </cell>
          <cell r="D9">
            <v>0.21</v>
          </cell>
          <cell r="E9">
            <v>52.87</v>
          </cell>
          <cell r="F9">
            <v>2.27</v>
          </cell>
          <cell r="G9">
            <v>473</v>
          </cell>
        </row>
      </sheetData>
      <sheetData sheetId="29">
        <row r="8">
          <cell r="C8">
            <v>4.1500000000000004</v>
          </cell>
          <cell r="D8">
            <v>0.23</v>
          </cell>
          <cell r="E8">
            <v>52.97</v>
          </cell>
          <cell r="F8">
            <v>2.27</v>
          </cell>
          <cell r="G8">
            <v>464</v>
          </cell>
        </row>
        <row r="9">
          <cell r="C9">
            <v>4.1500000000000004</v>
          </cell>
          <cell r="D9">
            <v>0.21</v>
          </cell>
          <cell r="E9">
            <v>52.73</v>
          </cell>
          <cell r="F9">
            <v>2.2000000000000002</v>
          </cell>
          <cell r="G9">
            <v>463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A3E7-B686-41C0-88CD-D7A1C006E4F7}">
  <sheetPr codeName="Sheet1"/>
  <dimension ref="B3:U41"/>
  <sheetViews>
    <sheetView topLeftCell="D1" zoomScale="95" zoomScaleNormal="95" workbookViewId="0">
      <selection activeCell="J12" sqref="J12"/>
    </sheetView>
  </sheetViews>
  <sheetFormatPr defaultRowHeight="15"/>
  <cols>
    <col min="2" max="4" width="15.7109375" style="4" customWidth="1"/>
    <col min="5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>
      <c r="B5" s="5">
        <v>45658</v>
      </c>
      <c r="C5" s="47" t="s">
        <v>17</v>
      </c>
      <c r="D5" s="4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pans="2:21">
      <c r="B6" s="5">
        <v>45659</v>
      </c>
      <c r="C6" s="49"/>
      <c r="D6" s="50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</row>
    <row r="7" spans="2:21">
      <c r="B7" s="5">
        <v>45660</v>
      </c>
      <c r="C7" s="51"/>
      <c r="D7" s="52"/>
      <c r="E7" s="3" t="s">
        <v>18</v>
      </c>
      <c r="F7" s="30">
        <v>4.4000000000000004</v>
      </c>
      <c r="G7" s="34">
        <v>0.59</v>
      </c>
      <c r="H7" s="30">
        <v>52</v>
      </c>
      <c r="I7" s="31">
        <v>2.13</v>
      </c>
      <c r="J7" s="32">
        <v>442</v>
      </c>
      <c r="K7" s="33"/>
      <c r="L7" s="2" t="s">
        <v>19</v>
      </c>
      <c r="M7" s="39"/>
      <c r="N7" s="39"/>
      <c r="O7" s="39"/>
      <c r="P7" s="39"/>
      <c r="Q7" s="39"/>
      <c r="R7" s="39"/>
      <c r="S7" s="39"/>
      <c r="T7" s="39"/>
      <c r="U7" s="38"/>
    </row>
    <row r="8" spans="2:21">
      <c r="B8" s="5">
        <v>45661</v>
      </c>
      <c r="C8" s="11">
        <v>6.5000000000000002E-2</v>
      </c>
      <c r="D8" s="11">
        <v>1.1200000000000001</v>
      </c>
      <c r="E8" s="3" t="s">
        <v>18</v>
      </c>
      <c r="F8" s="8">
        <v>3.92</v>
      </c>
      <c r="G8" s="34">
        <v>0.49</v>
      </c>
      <c r="H8" s="30">
        <v>52.34</v>
      </c>
      <c r="I8" s="32">
        <v>2.14</v>
      </c>
      <c r="J8" s="32">
        <f>AVERAGE(J4:J7)</f>
        <v>442</v>
      </c>
      <c r="K8" s="12">
        <v>28.5</v>
      </c>
      <c r="L8" s="2" t="s">
        <v>19</v>
      </c>
      <c r="M8" s="3" t="s">
        <v>20</v>
      </c>
      <c r="N8" s="11">
        <v>5.0777777777777776E-2</v>
      </c>
      <c r="O8" s="11">
        <v>1.0499999999999999E-2</v>
      </c>
      <c r="P8" s="16">
        <v>51.673333333333325</v>
      </c>
      <c r="Q8" s="3">
        <v>0</v>
      </c>
      <c r="R8" s="17">
        <v>2.0714285714285712</v>
      </c>
      <c r="S8" s="17">
        <v>8</v>
      </c>
      <c r="T8" s="17">
        <v>1.3</v>
      </c>
      <c r="U8" s="2" t="s">
        <v>21</v>
      </c>
    </row>
    <row r="9" spans="2:21">
      <c r="B9" s="5">
        <v>45662</v>
      </c>
      <c r="C9" s="11">
        <v>6.5000000000000002E-2</v>
      </c>
      <c r="D9" s="11">
        <v>1</v>
      </c>
      <c r="E9" s="3" t="s">
        <v>18</v>
      </c>
      <c r="F9" s="8">
        <v>3.9249999999999998</v>
      </c>
      <c r="G9" s="21">
        <v>0.21</v>
      </c>
      <c r="H9" s="8">
        <v>52.33</v>
      </c>
      <c r="I9" s="9">
        <v>2.2149999999999999</v>
      </c>
      <c r="J9" s="9">
        <v>457</v>
      </c>
      <c r="K9" s="12">
        <v>27.7</v>
      </c>
      <c r="L9" s="2" t="s">
        <v>19</v>
      </c>
      <c r="M9" s="3" t="s">
        <v>20</v>
      </c>
      <c r="N9" s="11">
        <v>5.5499999999999994E-2</v>
      </c>
      <c r="O9" s="11">
        <v>1.0999999999999999E-2</v>
      </c>
      <c r="P9" s="16">
        <v>51.82</v>
      </c>
      <c r="Q9" s="35">
        <v>1.8666666666666668E-2</v>
      </c>
      <c r="R9" s="17">
        <v>2.0750000000000006</v>
      </c>
      <c r="S9" s="17">
        <v>8</v>
      </c>
      <c r="T9" s="17">
        <v>1.8</v>
      </c>
      <c r="U9" s="2" t="s">
        <v>21</v>
      </c>
    </row>
    <row r="10" spans="2:21">
      <c r="B10" s="5">
        <v>45663</v>
      </c>
      <c r="C10" s="11">
        <v>6.5000000000000002E-2</v>
      </c>
      <c r="D10" s="11">
        <v>1.05</v>
      </c>
      <c r="E10" s="3" t="s">
        <v>18</v>
      </c>
      <c r="F10" s="8">
        <v>4.1850000000000005</v>
      </c>
      <c r="G10" s="21">
        <v>0.21500000000000002</v>
      </c>
      <c r="H10" s="8">
        <v>52.015000000000001</v>
      </c>
      <c r="I10" s="9">
        <v>2.25</v>
      </c>
      <c r="J10" s="9">
        <v>442</v>
      </c>
      <c r="K10" s="12">
        <v>32.6</v>
      </c>
      <c r="L10" s="2" t="s">
        <v>19</v>
      </c>
      <c r="M10" s="3" t="s">
        <v>20</v>
      </c>
      <c r="N10" s="11">
        <v>5.7000000000000002E-2</v>
      </c>
      <c r="O10" s="11">
        <v>1.2E-2</v>
      </c>
      <c r="P10" s="16">
        <v>51.894999999999996</v>
      </c>
      <c r="Q10" s="3">
        <v>0</v>
      </c>
      <c r="R10" s="17">
        <v>2.1727272727272724</v>
      </c>
      <c r="S10" s="17">
        <v>8</v>
      </c>
      <c r="T10" s="17">
        <v>1.5</v>
      </c>
      <c r="U10" s="2" t="s">
        <v>21</v>
      </c>
    </row>
    <row r="11" spans="2:21">
      <c r="B11" s="5">
        <v>45664</v>
      </c>
      <c r="C11" s="3">
        <v>6.5000000000000002E-2</v>
      </c>
      <c r="D11" s="11">
        <v>1.2</v>
      </c>
      <c r="E11" s="3" t="s">
        <v>18</v>
      </c>
      <c r="F11" s="8">
        <v>4.2349999999999994</v>
      </c>
      <c r="G11" s="21">
        <v>0.23499999999999999</v>
      </c>
      <c r="H11" s="8">
        <v>52.174999999999997</v>
      </c>
      <c r="I11" s="9">
        <v>2.29</v>
      </c>
      <c r="J11" s="9">
        <v>455</v>
      </c>
      <c r="K11" s="12">
        <v>30.7</v>
      </c>
      <c r="L11" s="2" t="s">
        <v>19</v>
      </c>
      <c r="M11" s="3" t="s">
        <v>22</v>
      </c>
      <c r="N11" s="11">
        <v>6.0250000000000005E-2</v>
      </c>
      <c r="O11" s="11">
        <v>1.2500000000000001E-2</v>
      </c>
      <c r="P11" s="16">
        <v>52.24666666666667</v>
      </c>
      <c r="Q11" s="3">
        <v>0</v>
      </c>
      <c r="R11" s="17">
        <v>2.2583333333333333</v>
      </c>
      <c r="S11" s="17">
        <v>8</v>
      </c>
      <c r="T11" s="17">
        <v>2.1</v>
      </c>
      <c r="U11" s="2" t="s">
        <v>21</v>
      </c>
    </row>
    <row r="12" spans="2:21">
      <c r="B12" s="5">
        <v>45665</v>
      </c>
      <c r="C12" s="11">
        <v>6.5000000000000002E-2</v>
      </c>
      <c r="D12" s="11">
        <v>1.2</v>
      </c>
      <c r="E12" s="3" t="s">
        <v>18</v>
      </c>
      <c r="F12" s="8">
        <v>4.2650000000000006</v>
      </c>
      <c r="G12" s="21">
        <v>0.20500000000000002</v>
      </c>
      <c r="H12" s="8">
        <v>52.195</v>
      </c>
      <c r="I12" s="9">
        <v>2.2749999999999999</v>
      </c>
      <c r="J12" s="9">
        <v>463</v>
      </c>
      <c r="K12" s="4">
        <v>31.7</v>
      </c>
      <c r="L12" s="2" t="s">
        <v>19</v>
      </c>
      <c r="M12" s="3" t="s">
        <v>20</v>
      </c>
      <c r="N12" s="11">
        <v>6.1499999999999999E-2</v>
      </c>
      <c r="O12" s="11">
        <v>1.2E-2</v>
      </c>
      <c r="P12" s="16">
        <v>52.08</v>
      </c>
      <c r="Q12" s="3">
        <v>0</v>
      </c>
      <c r="R12" s="17">
        <v>2.2416666666666663</v>
      </c>
      <c r="S12" s="17">
        <v>8</v>
      </c>
      <c r="T12" s="17">
        <v>2</v>
      </c>
      <c r="U12" s="2" t="s">
        <v>21</v>
      </c>
    </row>
    <row r="13" spans="2:21">
      <c r="B13" s="5">
        <v>45666</v>
      </c>
      <c r="C13" s="11">
        <v>6.7000000000000004E-2</v>
      </c>
      <c r="D13" s="11">
        <v>1.2</v>
      </c>
      <c r="E13" s="3" t="s">
        <v>18</v>
      </c>
      <c r="F13" s="8">
        <v>4.1850000000000005</v>
      </c>
      <c r="G13" s="21">
        <v>0.2</v>
      </c>
      <c r="H13" s="8">
        <v>52.11</v>
      </c>
      <c r="I13" s="9">
        <v>2.23</v>
      </c>
      <c r="J13" s="9">
        <v>448</v>
      </c>
      <c r="K13" s="12">
        <v>28.6</v>
      </c>
      <c r="L13" s="2" t="s">
        <v>19</v>
      </c>
      <c r="M13" s="3" t="s">
        <v>20</v>
      </c>
      <c r="N13" s="11">
        <v>6.0250000000000005E-2</v>
      </c>
      <c r="O13" s="11">
        <v>1.2E-2</v>
      </c>
      <c r="P13" s="16">
        <v>52.225000000000001</v>
      </c>
      <c r="Q13" s="3">
        <v>0</v>
      </c>
      <c r="R13" s="17">
        <v>2.15</v>
      </c>
      <c r="S13" s="17">
        <v>8</v>
      </c>
      <c r="T13" s="17">
        <v>2.1</v>
      </c>
      <c r="U13" s="2" t="s">
        <v>21</v>
      </c>
    </row>
    <row r="14" spans="2:21">
      <c r="B14" s="5">
        <v>45667</v>
      </c>
      <c r="C14" s="11">
        <v>6.5000000000000002E-2</v>
      </c>
      <c r="D14" s="11">
        <v>1.2</v>
      </c>
      <c r="E14" s="3" t="s">
        <v>18</v>
      </c>
      <c r="F14" s="8">
        <v>4.2450000000000001</v>
      </c>
      <c r="G14" s="21">
        <v>0.20500000000000002</v>
      </c>
      <c r="H14" s="8">
        <v>52.215000000000003</v>
      </c>
      <c r="I14" s="9">
        <v>2.2599999999999998</v>
      </c>
      <c r="J14" s="9">
        <v>459</v>
      </c>
      <c r="K14" s="12">
        <v>27.1</v>
      </c>
      <c r="L14" s="2" t="s">
        <v>19</v>
      </c>
      <c r="M14" s="3" t="s">
        <v>20</v>
      </c>
      <c r="N14" s="11">
        <v>6.7083333333333328E-2</v>
      </c>
      <c r="O14" s="11">
        <v>1.2E-2</v>
      </c>
      <c r="P14" s="16">
        <v>52.125</v>
      </c>
      <c r="Q14" s="3">
        <v>0</v>
      </c>
      <c r="R14" s="17">
        <v>2.2000000000000002</v>
      </c>
      <c r="S14" s="17">
        <v>8</v>
      </c>
      <c r="T14" s="17">
        <v>2.4</v>
      </c>
      <c r="U14" s="2" t="s">
        <v>21</v>
      </c>
    </row>
    <row r="15" spans="2:21">
      <c r="B15" s="5">
        <v>45668</v>
      </c>
      <c r="C15" s="11">
        <v>6.5000000000000002E-2</v>
      </c>
      <c r="D15" s="11">
        <v>1.18</v>
      </c>
      <c r="E15" s="3" t="s">
        <v>18</v>
      </c>
      <c r="F15" s="8">
        <v>4.0650000000000004</v>
      </c>
      <c r="G15" s="21">
        <v>0.21000000000000002</v>
      </c>
      <c r="H15" s="8">
        <v>52.375</v>
      </c>
      <c r="I15" s="9">
        <v>2.29</v>
      </c>
      <c r="J15" s="9">
        <v>464.5</v>
      </c>
      <c r="K15" s="12">
        <v>28.7</v>
      </c>
      <c r="L15" s="2" t="s">
        <v>19</v>
      </c>
      <c r="M15" s="3" t="s">
        <v>20</v>
      </c>
      <c r="N15" s="11">
        <v>6.6500000000000004E-2</v>
      </c>
      <c r="O15" s="11">
        <v>1.2E-2</v>
      </c>
      <c r="P15" s="16">
        <v>52.064999999999998</v>
      </c>
      <c r="Q15" s="3">
        <v>0</v>
      </c>
      <c r="R15" s="17">
        <v>2.2333333333333329</v>
      </c>
      <c r="S15" s="17">
        <v>8</v>
      </c>
      <c r="T15" s="17">
        <v>2.2999999999999998</v>
      </c>
      <c r="U15" s="2" t="s">
        <v>21</v>
      </c>
    </row>
    <row r="16" spans="2:21">
      <c r="B16" s="5">
        <v>45669</v>
      </c>
      <c r="C16" s="11">
        <v>6.5000000000000002E-2</v>
      </c>
      <c r="D16" s="11">
        <v>1.2</v>
      </c>
      <c r="E16" s="3" t="s">
        <v>18</v>
      </c>
      <c r="F16" s="8">
        <v>4.0350000000000001</v>
      </c>
      <c r="G16" s="21">
        <v>0.2</v>
      </c>
      <c r="H16" s="8">
        <v>52.14</v>
      </c>
      <c r="I16" s="9">
        <v>2.25</v>
      </c>
      <c r="J16" s="9">
        <v>451.5</v>
      </c>
      <c r="K16" s="12">
        <v>29.3</v>
      </c>
      <c r="L16" s="2" t="s">
        <v>19</v>
      </c>
      <c r="M16" s="3" t="s">
        <v>20</v>
      </c>
      <c r="N16" s="11">
        <v>6.9416666666666668E-2</v>
      </c>
      <c r="O16" s="11">
        <v>1.0999999999999999E-2</v>
      </c>
      <c r="P16" s="16">
        <v>52</v>
      </c>
      <c r="Q16" s="3">
        <v>0</v>
      </c>
      <c r="R16" s="17">
        <v>2.166666666666667</v>
      </c>
      <c r="S16" s="17">
        <v>8</v>
      </c>
      <c r="T16" s="17">
        <v>2.6</v>
      </c>
      <c r="U16" s="2" t="s">
        <v>21</v>
      </c>
    </row>
    <row r="17" spans="2:21">
      <c r="B17" s="5">
        <v>45670</v>
      </c>
      <c r="C17" s="11">
        <v>6.5000000000000002E-2</v>
      </c>
      <c r="D17" s="11">
        <v>1.1000000000000001</v>
      </c>
      <c r="E17" s="3" t="s">
        <v>18</v>
      </c>
      <c r="F17" s="8">
        <v>3.835</v>
      </c>
      <c r="G17" s="21">
        <v>0.215</v>
      </c>
      <c r="H17" s="8">
        <v>52.14</v>
      </c>
      <c r="I17" s="9">
        <v>2.2850000000000001</v>
      </c>
      <c r="J17" s="9">
        <v>461</v>
      </c>
      <c r="K17" s="12">
        <v>29.1</v>
      </c>
      <c r="L17" s="2" t="s">
        <v>19</v>
      </c>
      <c r="M17" s="3" t="s">
        <v>20</v>
      </c>
      <c r="N17" s="11">
        <v>6.2083333333333324E-2</v>
      </c>
      <c r="O17" s="11">
        <v>1.2500000000000001E-2</v>
      </c>
      <c r="P17" s="16">
        <v>52.019999999999996</v>
      </c>
      <c r="Q17" s="3">
        <v>0</v>
      </c>
      <c r="R17" s="17">
        <v>2.2250000000000001</v>
      </c>
      <c r="S17" s="17">
        <v>8</v>
      </c>
      <c r="T17" s="17">
        <v>2.9</v>
      </c>
      <c r="U17" s="2" t="s">
        <v>21</v>
      </c>
    </row>
    <row r="18" spans="2:21">
      <c r="B18" s="5">
        <v>45671</v>
      </c>
      <c r="C18" s="3">
        <v>6.5000000000000002E-2</v>
      </c>
      <c r="D18" s="11">
        <v>1.1000000000000001</v>
      </c>
      <c r="E18" s="3" t="s">
        <v>23</v>
      </c>
      <c r="F18" s="8">
        <v>4.1400000000000006</v>
      </c>
      <c r="G18" s="21">
        <v>0.22</v>
      </c>
      <c r="H18" s="8">
        <v>52.143333333333338</v>
      </c>
      <c r="I18" s="9">
        <v>2.2799999999999998</v>
      </c>
      <c r="J18" s="9">
        <v>465</v>
      </c>
      <c r="K18" s="12">
        <v>31</v>
      </c>
      <c r="L18" s="2" t="s">
        <v>19</v>
      </c>
      <c r="M18" s="3" t="s">
        <v>20</v>
      </c>
      <c r="N18" s="11">
        <v>6.0333333333333329E-2</v>
      </c>
      <c r="O18" s="11">
        <v>1.2E-2</v>
      </c>
      <c r="P18" s="16">
        <v>51.989999999999995</v>
      </c>
      <c r="Q18" s="3">
        <v>0</v>
      </c>
      <c r="R18" s="17">
        <v>2.2916666666666665</v>
      </c>
      <c r="S18" s="17">
        <v>8</v>
      </c>
      <c r="T18" s="17">
        <v>3.1</v>
      </c>
      <c r="U18" s="2" t="s">
        <v>21</v>
      </c>
    </row>
    <row r="19" spans="2:21">
      <c r="B19" s="5">
        <v>45672</v>
      </c>
      <c r="C19" s="11">
        <v>6.5000000000000002E-2</v>
      </c>
      <c r="D19" s="11">
        <v>1.24</v>
      </c>
      <c r="E19" s="3" t="s">
        <v>24</v>
      </c>
      <c r="F19" s="8">
        <v>4.3899999999999997</v>
      </c>
      <c r="G19" s="21">
        <v>0.20666666666666667</v>
      </c>
      <c r="H19" s="8">
        <v>52.226666666666667</v>
      </c>
      <c r="I19" s="9">
        <v>2.1033333333333331</v>
      </c>
      <c r="J19" s="9">
        <v>455.66666666666669</v>
      </c>
      <c r="K19" s="12">
        <v>30.1</v>
      </c>
      <c r="L19" s="2" t="s">
        <v>19</v>
      </c>
      <c r="M19" s="3" t="s">
        <v>20</v>
      </c>
      <c r="N19" s="11">
        <v>6.2307692307692293E-2</v>
      </c>
      <c r="O19" s="11">
        <v>1.2E-2</v>
      </c>
      <c r="P19" s="16">
        <v>52.034999999999997</v>
      </c>
      <c r="Q19" s="3">
        <v>0</v>
      </c>
      <c r="R19" s="17">
        <v>2.3230769230769237</v>
      </c>
      <c r="S19" s="17">
        <v>8</v>
      </c>
      <c r="T19" s="17">
        <v>3.2</v>
      </c>
      <c r="U19" s="2" t="s">
        <v>21</v>
      </c>
    </row>
    <row r="20" spans="2:21">
      <c r="B20" s="5">
        <v>45673</v>
      </c>
      <c r="C20" s="3">
        <v>6.5000000000000002E-2</v>
      </c>
      <c r="D20" s="11">
        <v>1.24</v>
      </c>
      <c r="E20" s="3" t="s">
        <v>25</v>
      </c>
      <c r="F20" s="8">
        <v>4.3333333333333339</v>
      </c>
      <c r="G20" s="21">
        <v>0.21333333333333335</v>
      </c>
      <c r="H20" s="8">
        <v>52.07</v>
      </c>
      <c r="I20" s="9">
        <v>2.14</v>
      </c>
      <c r="J20" s="9">
        <v>448.33333333333331</v>
      </c>
      <c r="K20" s="12">
        <v>30.8</v>
      </c>
      <c r="L20" s="2" t="s">
        <v>19</v>
      </c>
      <c r="M20" s="3" t="s">
        <v>20</v>
      </c>
      <c r="N20" s="11">
        <v>6.3916666666666677E-2</v>
      </c>
      <c r="O20" s="11">
        <v>1.15E-2</v>
      </c>
      <c r="P20" s="16">
        <v>51.963333333333331</v>
      </c>
      <c r="Q20" s="3">
        <v>0</v>
      </c>
      <c r="R20" s="17">
        <v>2.5533333333333337</v>
      </c>
      <c r="S20" s="17">
        <v>8</v>
      </c>
      <c r="T20" s="17">
        <v>3.3</v>
      </c>
      <c r="U20" s="2" t="s">
        <v>21</v>
      </c>
    </row>
    <row r="21" spans="2:21">
      <c r="B21" s="5">
        <v>45674</v>
      </c>
      <c r="C21" s="11">
        <v>6.5000000000000002E-2</v>
      </c>
      <c r="D21" s="11">
        <v>1.46</v>
      </c>
      <c r="E21" s="3" t="s">
        <v>18</v>
      </c>
      <c r="F21" s="8">
        <v>3.44</v>
      </c>
      <c r="G21" s="21">
        <v>0.21000000000000002</v>
      </c>
      <c r="H21" s="8">
        <v>52.02</v>
      </c>
      <c r="I21" s="9">
        <v>1.56</v>
      </c>
      <c r="J21" s="9">
        <v>322</v>
      </c>
      <c r="K21" s="12">
        <v>27.1</v>
      </c>
      <c r="L21" s="2" t="s">
        <v>19</v>
      </c>
      <c r="M21" s="3" t="s">
        <v>22</v>
      </c>
      <c r="N21" s="11">
        <v>5.7250000000000002E-2</v>
      </c>
      <c r="O21" s="11">
        <v>1.0999999999999999E-2</v>
      </c>
      <c r="P21" s="16">
        <v>51.933333333333337</v>
      </c>
      <c r="Q21" s="3">
        <v>0</v>
      </c>
      <c r="R21" s="17">
        <v>2.1166666666666671</v>
      </c>
      <c r="S21" s="17">
        <v>8</v>
      </c>
      <c r="T21" s="17">
        <v>2.2999999999999998</v>
      </c>
      <c r="U21" s="2" t="s">
        <v>21</v>
      </c>
    </row>
    <row r="22" spans="2:21">
      <c r="B22" s="5">
        <v>45675</v>
      </c>
      <c r="C22" s="11">
        <v>6.5000000000000002E-2</v>
      </c>
      <c r="D22" s="11">
        <v>1.3</v>
      </c>
      <c r="E22" s="3" t="s">
        <v>26</v>
      </c>
      <c r="F22" s="8">
        <v>3.47</v>
      </c>
      <c r="G22" s="21">
        <v>0.21</v>
      </c>
      <c r="H22" s="8">
        <v>52.04666666666666</v>
      </c>
      <c r="I22" s="8">
        <v>1.6633333333333333</v>
      </c>
      <c r="J22" s="9">
        <v>376</v>
      </c>
      <c r="K22" s="12">
        <v>26.9</v>
      </c>
      <c r="L22" s="2" t="s">
        <v>19</v>
      </c>
      <c r="M22" s="3" t="s">
        <v>20</v>
      </c>
      <c r="N22" s="11">
        <v>5.9000000000000018E-2</v>
      </c>
      <c r="O22" s="11">
        <v>1.2E-2</v>
      </c>
      <c r="P22" s="16">
        <v>51.984999999999999</v>
      </c>
      <c r="Q22" s="3">
        <v>0</v>
      </c>
      <c r="R22" s="17">
        <v>2.1916666666666664</v>
      </c>
      <c r="S22" s="17">
        <v>8</v>
      </c>
      <c r="T22" s="17">
        <v>2.6</v>
      </c>
      <c r="U22" s="2" t="s">
        <v>21</v>
      </c>
    </row>
    <row r="23" spans="2:21">
      <c r="B23" s="5">
        <v>45676</v>
      </c>
      <c r="C23" s="11">
        <v>6.5000000000000002E-2</v>
      </c>
      <c r="D23" s="11">
        <v>1.4</v>
      </c>
      <c r="E23" s="3" t="s">
        <v>27</v>
      </c>
      <c r="F23" s="8">
        <v>4.3533333333333335</v>
      </c>
      <c r="G23" s="21">
        <v>0.21333333333333335</v>
      </c>
      <c r="H23" s="8">
        <v>52.13</v>
      </c>
      <c r="I23" s="9">
        <v>2.14</v>
      </c>
      <c r="J23" s="9">
        <v>440.33333333333331</v>
      </c>
      <c r="K23" s="12">
        <v>28.7</v>
      </c>
      <c r="L23" s="2" t="s">
        <v>19</v>
      </c>
      <c r="M23" s="3" t="s">
        <v>22</v>
      </c>
      <c r="N23" s="11">
        <v>6.0166666666666667E-2</v>
      </c>
      <c r="O23" s="11">
        <v>1.2E-2</v>
      </c>
      <c r="P23" s="16">
        <v>52.096666666666664</v>
      </c>
      <c r="Q23" s="3">
        <v>0</v>
      </c>
      <c r="R23" s="17">
        <v>2.3083333333333331</v>
      </c>
      <c r="S23" s="17">
        <v>8</v>
      </c>
      <c r="T23" s="17">
        <v>2.5</v>
      </c>
      <c r="U23" s="2" t="s">
        <v>21</v>
      </c>
    </row>
    <row r="24" spans="2:21">
      <c r="B24" s="5">
        <v>45677</v>
      </c>
      <c r="C24" s="11">
        <v>6.5000000000000002E-2</v>
      </c>
      <c r="D24" s="11">
        <v>1.5</v>
      </c>
      <c r="E24" s="3" t="s">
        <v>28</v>
      </c>
      <c r="F24" s="8">
        <v>4.4849999999999994</v>
      </c>
      <c r="G24" s="21">
        <v>0.215</v>
      </c>
      <c r="H24" s="8">
        <v>52.129999999999995</v>
      </c>
      <c r="I24" s="9">
        <v>2.2250000000000001</v>
      </c>
      <c r="J24" s="9">
        <v>462.5</v>
      </c>
      <c r="K24" s="12">
        <v>34</v>
      </c>
      <c r="L24" s="2" t="s">
        <v>19</v>
      </c>
      <c r="M24" s="3" t="s">
        <v>22</v>
      </c>
      <c r="N24" s="11">
        <v>6.0833333333333316E-2</v>
      </c>
      <c r="O24" s="11">
        <v>1.2E-2</v>
      </c>
      <c r="P24" s="16">
        <v>52.196666666666665</v>
      </c>
      <c r="Q24" s="3">
        <v>0</v>
      </c>
      <c r="R24" s="17">
        <v>2.2499999999999996</v>
      </c>
      <c r="S24" s="17">
        <v>8</v>
      </c>
      <c r="T24" s="17">
        <v>2.7</v>
      </c>
      <c r="U24" s="2" t="s">
        <v>21</v>
      </c>
    </row>
    <row r="25" spans="2:21">
      <c r="B25" s="5">
        <v>45678</v>
      </c>
      <c r="C25" s="3">
        <v>6.5000000000000002E-2</v>
      </c>
      <c r="D25" s="11">
        <v>1.5</v>
      </c>
      <c r="E25" s="3" t="s">
        <v>29</v>
      </c>
      <c r="F25" s="8">
        <v>4.6449999999999996</v>
      </c>
      <c r="G25" s="21">
        <v>0.21500000000000002</v>
      </c>
      <c r="H25" s="8">
        <v>52.25</v>
      </c>
      <c r="I25" s="9">
        <v>2.29</v>
      </c>
      <c r="J25" s="9">
        <v>469</v>
      </c>
      <c r="K25" s="12">
        <v>34.9</v>
      </c>
      <c r="L25" s="2" t="s">
        <v>19</v>
      </c>
      <c r="M25" s="3" t="s">
        <v>22</v>
      </c>
      <c r="N25" s="11">
        <v>6.4749999999999988E-2</v>
      </c>
      <c r="O25" s="11">
        <v>1.2E-2</v>
      </c>
      <c r="P25" s="16">
        <v>52.25</v>
      </c>
      <c r="Q25" s="3">
        <v>0</v>
      </c>
      <c r="R25" s="3">
        <v>2.2000000000000002</v>
      </c>
      <c r="S25" s="17">
        <v>8</v>
      </c>
      <c r="T25" s="17">
        <v>3.4</v>
      </c>
      <c r="U25" s="2" t="s">
        <v>21</v>
      </c>
    </row>
    <row r="26" spans="2:21">
      <c r="B26" s="5">
        <v>45679</v>
      </c>
      <c r="C26" s="11">
        <v>7.0000000000000007E-2</v>
      </c>
      <c r="D26" s="11">
        <v>1.6</v>
      </c>
      <c r="E26" s="3" t="s">
        <v>28</v>
      </c>
      <c r="F26" s="8">
        <v>4.7249999999999996</v>
      </c>
      <c r="G26" s="21">
        <v>0.23499999999999999</v>
      </c>
      <c r="H26" s="8">
        <v>52.064999999999998</v>
      </c>
      <c r="I26" s="9">
        <v>2.23</v>
      </c>
      <c r="J26" s="9">
        <v>459.5</v>
      </c>
      <c r="K26" s="12">
        <v>44</v>
      </c>
      <c r="L26" s="2" t="s">
        <v>19</v>
      </c>
      <c r="M26" s="3" t="s">
        <v>20</v>
      </c>
      <c r="N26" s="11">
        <v>6.1214285714285728E-2</v>
      </c>
      <c r="O26" s="11">
        <v>1.2E-2</v>
      </c>
      <c r="P26" s="16">
        <v>52.042500000000004</v>
      </c>
      <c r="Q26" s="3">
        <v>0</v>
      </c>
      <c r="R26" s="3">
        <v>2.2999999999999998</v>
      </c>
      <c r="S26" s="17">
        <v>8</v>
      </c>
      <c r="T26" s="17">
        <v>3.8</v>
      </c>
      <c r="U26" s="2" t="s">
        <v>21</v>
      </c>
    </row>
    <row r="27" spans="2:21">
      <c r="B27" s="5">
        <v>45680</v>
      </c>
      <c r="C27" s="11">
        <v>7.0000000000000007E-2</v>
      </c>
      <c r="D27" s="11">
        <v>1.7</v>
      </c>
      <c r="E27" s="3" t="s">
        <v>30</v>
      </c>
      <c r="F27" s="8">
        <v>4.7349999999999994</v>
      </c>
      <c r="G27" s="21">
        <v>0.22500000000000001</v>
      </c>
      <c r="H27" s="8">
        <v>52.22</v>
      </c>
      <c r="I27" s="9">
        <v>2.2050000000000001</v>
      </c>
      <c r="J27" s="9">
        <v>465</v>
      </c>
      <c r="K27" s="12">
        <v>41.7</v>
      </c>
      <c r="L27" s="2" t="s">
        <v>19</v>
      </c>
      <c r="M27" s="3" t="s">
        <v>20</v>
      </c>
      <c r="N27" s="11">
        <v>6.2999999999999987E-2</v>
      </c>
      <c r="O27" s="11">
        <v>1.0999999999999999E-2</v>
      </c>
      <c r="P27" s="16">
        <v>51.965000000000003</v>
      </c>
      <c r="Q27" s="3">
        <v>0</v>
      </c>
      <c r="R27" s="3">
        <v>2.2000000000000002</v>
      </c>
      <c r="S27" s="17">
        <v>8</v>
      </c>
      <c r="T27" s="17">
        <v>3.2</v>
      </c>
      <c r="U27" s="2" t="s">
        <v>21</v>
      </c>
    </row>
    <row r="28" spans="2:21">
      <c r="B28" s="5">
        <v>45681</v>
      </c>
      <c r="C28" s="11">
        <v>7.0000000000000007E-2</v>
      </c>
      <c r="D28" s="11">
        <v>1.7</v>
      </c>
      <c r="E28" s="3" t="s">
        <v>30</v>
      </c>
      <c r="F28" s="8">
        <v>4.78</v>
      </c>
      <c r="G28" s="21">
        <v>0.22500000000000001</v>
      </c>
      <c r="H28" s="8">
        <v>52.114999999999995</v>
      </c>
      <c r="I28" s="9">
        <v>2.2050000000000001</v>
      </c>
      <c r="J28" s="9">
        <v>463</v>
      </c>
      <c r="K28" s="12">
        <v>40.5</v>
      </c>
      <c r="L28" s="2" t="s">
        <v>19</v>
      </c>
      <c r="M28" s="3" t="s">
        <v>22</v>
      </c>
      <c r="N28" s="11">
        <v>6.6500000000000004E-2</v>
      </c>
      <c r="O28" s="11">
        <v>1.2E-2</v>
      </c>
      <c r="P28" s="16">
        <v>51.98</v>
      </c>
      <c r="Q28" s="3">
        <v>0</v>
      </c>
      <c r="R28" s="17">
        <v>2.1749999999999998</v>
      </c>
      <c r="S28" s="17">
        <v>8</v>
      </c>
      <c r="T28" s="17">
        <v>3.1</v>
      </c>
      <c r="U28" s="2" t="s">
        <v>21</v>
      </c>
    </row>
    <row r="29" spans="2:21">
      <c r="B29" s="5">
        <v>45682</v>
      </c>
      <c r="C29" s="11">
        <v>7.0000000000000007E-2</v>
      </c>
      <c r="D29" s="11">
        <v>1.67</v>
      </c>
      <c r="E29" s="3" t="s">
        <v>30</v>
      </c>
      <c r="F29" s="8">
        <v>4.8049999999999997</v>
      </c>
      <c r="G29" s="21">
        <v>0.22500000000000001</v>
      </c>
      <c r="H29" s="8">
        <v>52.064999999999998</v>
      </c>
      <c r="I29" s="9">
        <v>1.7449999999999999</v>
      </c>
      <c r="J29" s="9">
        <v>368.5</v>
      </c>
      <c r="K29" s="12">
        <v>37.299999999999997</v>
      </c>
      <c r="L29" s="2" t="s">
        <v>19</v>
      </c>
      <c r="M29" s="3" t="s">
        <v>20</v>
      </c>
      <c r="N29" s="11">
        <v>6.7615384615384633E-2</v>
      </c>
      <c r="O29" s="11">
        <v>1.2E-2</v>
      </c>
      <c r="P29" s="16">
        <v>51.980000000000004</v>
      </c>
      <c r="Q29" s="3">
        <v>0</v>
      </c>
      <c r="R29" s="3">
        <v>2.2000000000000002</v>
      </c>
      <c r="S29" s="17">
        <v>8</v>
      </c>
      <c r="T29" s="17">
        <v>2.8</v>
      </c>
      <c r="U29" s="2" t="s">
        <v>21</v>
      </c>
    </row>
    <row r="30" spans="2:21">
      <c r="B30" s="5">
        <v>45683</v>
      </c>
      <c r="C30" s="11">
        <v>7.0000000000000007E-2</v>
      </c>
      <c r="D30" s="11">
        <v>1.7</v>
      </c>
      <c r="E30" s="3" t="s">
        <v>30</v>
      </c>
      <c r="F30" s="8">
        <v>4.9000000000000004</v>
      </c>
      <c r="G30" s="21">
        <v>0.22500000000000001</v>
      </c>
      <c r="H30" s="8">
        <v>52.125</v>
      </c>
      <c r="I30" s="9">
        <v>2.165</v>
      </c>
      <c r="J30" s="9">
        <v>425</v>
      </c>
      <c r="K30" s="12">
        <v>38.5</v>
      </c>
      <c r="L30" s="2" t="s">
        <v>19</v>
      </c>
      <c r="M30" s="3" t="s">
        <v>20</v>
      </c>
      <c r="N30" s="11">
        <v>6.5833333333333341E-2</v>
      </c>
      <c r="O30" s="11">
        <v>1.3000000000000001E-2</v>
      </c>
      <c r="P30" s="16">
        <v>52.099999999999994</v>
      </c>
      <c r="Q30" s="3">
        <v>0</v>
      </c>
      <c r="R30" s="17">
        <v>2.2166666666666663</v>
      </c>
      <c r="S30" s="17">
        <v>8</v>
      </c>
      <c r="T30" s="17">
        <v>3</v>
      </c>
      <c r="U30" s="2" t="s">
        <v>21</v>
      </c>
    </row>
    <row r="31" spans="2:21">
      <c r="B31" s="5">
        <v>45684</v>
      </c>
      <c r="C31" s="11">
        <v>7.0000000000000007E-2</v>
      </c>
      <c r="D31" s="11">
        <v>1.7</v>
      </c>
      <c r="E31" s="3" t="s">
        <v>30</v>
      </c>
      <c r="F31" s="8">
        <v>4.8550000000000004</v>
      </c>
      <c r="G31" s="21">
        <v>0.21500000000000002</v>
      </c>
      <c r="H31" s="9">
        <v>52.1</v>
      </c>
      <c r="I31" s="9">
        <v>2.2149999999999999</v>
      </c>
      <c r="J31" s="9">
        <v>440</v>
      </c>
      <c r="K31" s="12">
        <v>32.799999999999997</v>
      </c>
      <c r="L31" s="2" t="s">
        <v>19</v>
      </c>
      <c r="M31" s="3" t="s">
        <v>20</v>
      </c>
      <c r="N31" s="11">
        <v>6.3083333333333338E-2</v>
      </c>
      <c r="O31" s="11">
        <v>1.2E-2</v>
      </c>
      <c r="P31" s="16">
        <v>51.980000000000004</v>
      </c>
      <c r="Q31" s="3">
        <v>0</v>
      </c>
      <c r="R31" s="17">
        <v>2.1833333333333336</v>
      </c>
      <c r="S31" s="17">
        <v>8</v>
      </c>
      <c r="T31" s="17">
        <v>1.5</v>
      </c>
      <c r="U31" s="2" t="s">
        <v>21</v>
      </c>
    </row>
    <row r="32" spans="2:21">
      <c r="B32" s="5">
        <v>45685</v>
      </c>
      <c r="C32" s="11">
        <v>7.0000000000000007E-2</v>
      </c>
      <c r="D32" s="11">
        <v>1.68</v>
      </c>
      <c r="E32" s="3" t="s">
        <v>30</v>
      </c>
      <c r="F32" s="8">
        <v>4.78</v>
      </c>
      <c r="G32" s="21">
        <v>0.21500000000000002</v>
      </c>
      <c r="H32" s="8">
        <v>52.135000000000005</v>
      </c>
      <c r="I32" s="9">
        <v>2.2400000000000002</v>
      </c>
      <c r="J32" s="9">
        <v>453.5</v>
      </c>
      <c r="K32" s="12">
        <v>29</v>
      </c>
      <c r="L32" s="2" t="s">
        <v>19</v>
      </c>
      <c r="M32" s="3" t="s">
        <v>22</v>
      </c>
      <c r="N32" s="11">
        <v>6.546153846153846E-2</v>
      </c>
      <c r="O32" s="11">
        <v>1.2E-2</v>
      </c>
      <c r="P32" s="16">
        <v>51.973333333333336</v>
      </c>
      <c r="Q32" s="3">
        <v>0</v>
      </c>
      <c r="R32" s="17">
        <v>2.3533333333333335</v>
      </c>
      <c r="S32" s="17">
        <v>8</v>
      </c>
      <c r="T32" s="17">
        <v>0.9</v>
      </c>
      <c r="U32" s="2" t="s">
        <v>21</v>
      </c>
    </row>
    <row r="33" spans="2:21">
      <c r="B33" s="5">
        <v>45686</v>
      </c>
      <c r="C33" s="11">
        <v>7.0000000000000007E-2</v>
      </c>
      <c r="D33" s="11">
        <v>1.7</v>
      </c>
      <c r="E33" s="3" t="s">
        <v>30</v>
      </c>
      <c r="F33" s="8">
        <v>4.8499999999999996</v>
      </c>
      <c r="G33" s="21">
        <v>0.20500000000000002</v>
      </c>
      <c r="H33" s="8">
        <v>52.17</v>
      </c>
      <c r="I33" s="9">
        <v>2.2650000000000001</v>
      </c>
      <c r="J33" s="9">
        <v>446</v>
      </c>
      <c r="K33" s="12">
        <v>28.9</v>
      </c>
      <c r="L33" s="2" t="s">
        <v>19</v>
      </c>
      <c r="M33" s="3" t="s">
        <v>22</v>
      </c>
      <c r="N33" s="11">
        <v>6.546153846153846E-2</v>
      </c>
      <c r="O33" s="11">
        <v>1.0999999999999999E-2</v>
      </c>
      <c r="P33" s="16">
        <v>51.924999999999997</v>
      </c>
      <c r="Q33" s="3">
        <v>0</v>
      </c>
      <c r="R33" s="17">
        <v>2.1923076923076925</v>
      </c>
      <c r="S33" s="17">
        <v>8</v>
      </c>
      <c r="T33" s="17">
        <v>1.6</v>
      </c>
      <c r="U33" s="2" t="s">
        <v>21</v>
      </c>
    </row>
    <row r="34" spans="2:21">
      <c r="B34" s="5">
        <v>45687</v>
      </c>
      <c r="C34" s="11">
        <v>7.0000000000000007E-2</v>
      </c>
      <c r="D34" s="11">
        <v>1.6</v>
      </c>
      <c r="E34" s="3" t="s">
        <v>30</v>
      </c>
      <c r="F34" s="8">
        <v>5.09</v>
      </c>
      <c r="G34" s="21">
        <v>0.20500000000000002</v>
      </c>
      <c r="H34" s="8">
        <v>52.04</v>
      </c>
      <c r="I34" s="9">
        <v>2.2599999999999998</v>
      </c>
      <c r="J34" s="9">
        <v>459.5</v>
      </c>
      <c r="K34" s="12">
        <v>35.5</v>
      </c>
      <c r="L34" s="2" t="s">
        <v>19</v>
      </c>
      <c r="M34" s="3" t="s">
        <v>20</v>
      </c>
      <c r="N34" s="11">
        <v>6.3E-2</v>
      </c>
      <c r="O34" s="11">
        <v>1.0999999999999999E-2</v>
      </c>
      <c r="P34" s="16">
        <v>51.954999999999998</v>
      </c>
      <c r="Q34" s="3">
        <v>0</v>
      </c>
      <c r="R34" s="17">
        <v>2.1166666666666671</v>
      </c>
      <c r="S34" s="17">
        <v>8</v>
      </c>
      <c r="T34" s="17">
        <v>1</v>
      </c>
      <c r="U34" s="2" t="s">
        <v>21</v>
      </c>
    </row>
    <row r="35" spans="2:21">
      <c r="B35" s="5">
        <v>45688</v>
      </c>
      <c r="C35" s="11">
        <v>7.0000000000000007E-2</v>
      </c>
      <c r="D35" s="11">
        <v>1.8</v>
      </c>
      <c r="E35" s="3" t="s">
        <v>30</v>
      </c>
      <c r="F35" s="16">
        <v>5.1349999999999998</v>
      </c>
      <c r="G35" s="11">
        <v>0.22</v>
      </c>
      <c r="H35" s="16">
        <v>52.06</v>
      </c>
      <c r="I35" s="16">
        <v>2.27</v>
      </c>
      <c r="J35" s="16">
        <v>451.5</v>
      </c>
      <c r="K35" s="17">
        <v>30.9</v>
      </c>
      <c r="L35" s="2" t="s">
        <v>19</v>
      </c>
      <c r="M35" s="3" t="s">
        <v>20</v>
      </c>
      <c r="N35" s="11">
        <v>6.4916666666666664E-2</v>
      </c>
      <c r="O35" s="3">
        <v>1.2999999999999999E-2</v>
      </c>
      <c r="P35" s="3">
        <v>52.120000000000005</v>
      </c>
      <c r="Q35" s="3">
        <v>0</v>
      </c>
      <c r="R35" s="17">
        <v>2.2416666666666663</v>
      </c>
      <c r="S35" s="17">
        <v>8</v>
      </c>
      <c r="T35" s="3">
        <v>1.8</v>
      </c>
      <c r="U35" s="2" t="s">
        <v>21</v>
      </c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7">
    <mergeCell ref="M3:U3"/>
    <mergeCell ref="C5:D7"/>
    <mergeCell ref="B37:D37"/>
    <mergeCell ref="B3:B4"/>
    <mergeCell ref="C3:C4"/>
    <mergeCell ref="D3:D4"/>
    <mergeCell ref="E3: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50C6-E029-4A81-B5E5-BE70850F379B}">
  <sheetPr codeName="Sheet2"/>
  <dimension ref="B3:U39"/>
  <sheetViews>
    <sheetView topLeftCell="E1" workbookViewId="0">
      <selection activeCell="I9" sqref="I9"/>
    </sheetView>
  </sheetViews>
  <sheetFormatPr defaultRowHeight="15"/>
  <cols>
    <col min="2" max="4" width="15.7109375" style="4" customWidth="1"/>
    <col min="5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45689</v>
      </c>
      <c r="C5" s="11">
        <v>7.0000000000000007E-2</v>
      </c>
      <c r="D5" s="11">
        <v>1.8</v>
      </c>
      <c r="E5" s="3" t="s">
        <v>30</v>
      </c>
      <c r="F5" s="8">
        <v>5.23</v>
      </c>
      <c r="G5" s="21">
        <v>0.21000000000000002</v>
      </c>
      <c r="H5" s="8">
        <v>52.195</v>
      </c>
      <c r="I5" s="8">
        <v>2.2599999999999998</v>
      </c>
      <c r="J5" s="8">
        <v>463</v>
      </c>
      <c r="K5" s="12">
        <v>29.1</v>
      </c>
      <c r="L5" s="2" t="s">
        <v>19</v>
      </c>
      <c r="M5" s="3" t="s">
        <v>22</v>
      </c>
      <c r="N5" s="20">
        <v>6.3750000000000015E-2</v>
      </c>
      <c r="O5" s="20">
        <v>1.0999999999999999E-2</v>
      </c>
      <c r="P5" s="13">
        <v>52.06</v>
      </c>
      <c r="Q5" s="14">
        <v>0</v>
      </c>
      <c r="R5" s="15">
        <v>2.2416666666666671</v>
      </c>
      <c r="S5" s="3">
        <v>8</v>
      </c>
      <c r="T5" s="36">
        <v>1.7</v>
      </c>
      <c r="U5" s="2" t="s">
        <v>21</v>
      </c>
    </row>
    <row r="6" spans="2:21">
      <c r="B6" s="5">
        <v>45690</v>
      </c>
      <c r="C6" s="11">
        <v>7.0000000000000007E-2</v>
      </c>
      <c r="D6" s="11">
        <v>1.8</v>
      </c>
      <c r="E6" s="3" t="s">
        <v>30</v>
      </c>
      <c r="F6" s="8">
        <v>5.4350000000000005</v>
      </c>
      <c r="G6" s="21">
        <v>0.22</v>
      </c>
      <c r="H6" s="8">
        <v>52.185000000000002</v>
      </c>
      <c r="I6" s="9">
        <v>2.2800000000000002</v>
      </c>
      <c r="J6" s="9">
        <v>457.5</v>
      </c>
      <c r="K6" s="12">
        <v>30.9</v>
      </c>
      <c r="L6" s="2" t="s">
        <v>19</v>
      </c>
      <c r="M6" s="3" t="s">
        <v>31</v>
      </c>
      <c r="N6" s="11">
        <v>6.3749999999999987E-2</v>
      </c>
      <c r="O6" s="11">
        <v>1.2500000000000001E-2</v>
      </c>
      <c r="P6" s="16">
        <v>51.995000000000005</v>
      </c>
      <c r="Q6" s="3">
        <v>0</v>
      </c>
      <c r="R6" s="17">
        <v>2.1083333333333338</v>
      </c>
      <c r="S6" s="3">
        <v>8</v>
      </c>
      <c r="T6" s="4">
        <v>1.2</v>
      </c>
      <c r="U6" s="2" t="s">
        <v>21</v>
      </c>
    </row>
    <row r="7" spans="2:21">
      <c r="B7" s="5">
        <v>45691</v>
      </c>
      <c r="C7" s="11">
        <v>7.0000000000000007E-2</v>
      </c>
      <c r="D7" s="11">
        <v>1.8</v>
      </c>
      <c r="E7" s="3" t="s">
        <v>30</v>
      </c>
      <c r="F7" s="8">
        <v>5.1449999999999996</v>
      </c>
      <c r="G7" s="21">
        <v>0.21000000000000002</v>
      </c>
      <c r="H7" s="8">
        <v>52.075000000000003</v>
      </c>
      <c r="I7" s="9">
        <v>2.27</v>
      </c>
      <c r="J7" s="9">
        <v>464</v>
      </c>
      <c r="K7" s="12">
        <v>32.299999999999997</v>
      </c>
      <c r="L7" s="2" t="s">
        <v>19</v>
      </c>
      <c r="M7" s="3" t="s">
        <v>31</v>
      </c>
      <c r="N7" s="11">
        <v>6.3307692307692315E-2</v>
      </c>
      <c r="O7" s="11">
        <v>1.0999999999999999E-2</v>
      </c>
      <c r="P7" s="16">
        <v>51.93</v>
      </c>
      <c r="Q7" s="3">
        <v>0</v>
      </c>
      <c r="R7" s="17">
        <v>2.1153846153846159</v>
      </c>
      <c r="S7" s="3">
        <v>8</v>
      </c>
      <c r="T7" s="36">
        <v>1.2</v>
      </c>
      <c r="U7" s="2" t="s">
        <v>21</v>
      </c>
    </row>
    <row r="8" spans="2:21">
      <c r="B8" s="5">
        <v>45692</v>
      </c>
      <c r="C8" s="11">
        <v>7.0000000000000007E-2</v>
      </c>
      <c r="D8" s="11">
        <v>1.8</v>
      </c>
      <c r="E8" s="3" t="s">
        <v>32</v>
      </c>
      <c r="F8" s="30">
        <f t="shared" ref="F8:I8" si="0">AVERAGE(F5:F7)</f>
        <v>5.2700000000000005</v>
      </c>
      <c r="G8" s="34">
        <f t="shared" si="0"/>
        <v>0.21333333333333337</v>
      </c>
      <c r="H8" s="30">
        <f t="shared" si="0"/>
        <v>52.151666666666664</v>
      </c>
      <c r="I8" s="40">
        <f t="shared" si="0"/>
        <v>2.27</v>
      </c>
      <c r="J8" s="40">
        <v>462</v>
      </c>
      <c r="K8" s="12">
        <v>25.4</v>
      </c>
      <c r="L8" s="2" t="s">
        <v>19</v>
      </c>
      <c r="M8" s="3" t="s">
        <v>31</v>
      </c>
      <c r="N8" s="11">
        <v>6.1083333333333323E-2</v>
      </c>
      <c r="O8" s="11">
        <v>1.15E-2</v>
      </c>
      <c r="P8" s="16">
        <v>51.83</v>
      </c>
      <c r="Q8" s="3">
        <v>0</v>
      </c>
      <c r="R8" s="17">
        <v>2.1000000000000005</v>
      </c>
      <c r="S8" s="3">
        <v>8</v>
      </c>
      <c r="T8" s="36">
        <v>0.63</v>
      </c>
      <c r="U8" s="2" t="s">
        <v>21</v>
      </c>
    </row>
    <row r="9" spans="2:21">
      <c r="B9" s="5">
        <v>45693</v>
      </c>
      <c r="C9" s="11">
        <v>7.0000000000000007E-2</v>
      </c>
      <c r="D9" s="11">
        <v>1.8</v>
      </c>
      <c r="E9" s="3" t="s">
        <v>18</v>
      </c>
      <c r="F9" s="8">
        <v>4.9049999999999994</v>
      </c>
      <c r="G9" s="21">
        <v>0.21000000000000002</v>
      </c>
      <c r="H9" s="8">
        <v>52.129999999999995</v>
      </c>
      <c r="I9" s="9">
        <v>2.04</v>
      </c>
      <c r="J9" s="9">
        <v>426.5</v>
      </c>
      <c r="K9" s="12">
        <v>24.5</v>
      </c>
      <c r="L9" s="2" t="s">
        <v>19</v>
      </c>
      <c r="M9" s="3" t="s">
        <v>31</v>
      </c>
      <c r="N9" s="11">
        <v>6.3249999999999987E-2</v>
      </c>
      <c r="O9" s="11">
        <v>1.0999999999999999E-2</v>
      </c>
      <c r="P9" s="16">
        <v>51.959999999999994</v>
      </c>
      <c r="Q9" s="3">
        <v>0</v>
      </c>
      <c r="R9" s="17">
        <v>2.1749999999999994</v>
      </c>
      <c r="S9" s="3">
        <v>8</v>
      </c>
      <c r="T9" s="36">
        <v>0.9</v>
      </c>
      <c r="U9" s="2" t="s">
        <v>21</v>
      </c>
    </row>
    <row r="10" spans="2:21">
      <c r="B10" s="5">
        <v>45694</v>
      </c>
      <c r="C10" s="11">
        <v>7.0000000000000007E-2</v>
      </c>
      <c r="D10" s="11">
        <v>1.8</v>
      </c>
      <c r="E10" s="3" t="s">
        <v>18</v>
      </c>
      <c r="F10" s="8">
        <v>4.45</v>
      </c>
      <c r="G10" s="21">
        <v>0.21000000000000002</v>
      </c>
      <c r="H10" s="8">
        <v>52.295000000000002</v>
      </c>
      <c r="I10" s="9">
        <v>2.25</v>
      </c>
      <c r="J10" s="9">
        <v>448</v>
      </c>
      <c r="K10" s="12">
        <v>22.9</v>
      </c>
      <c r="L10" s="2" t="s">
        <v>19</v>
      </c>
      <c r="M10" s="3" t="s">
        <v>31</v>
      </c>
      <c r="N10" s="11">
        <v>6.533333333333334E-2</v>
      </c>
      <c r="O10" s="11">
        <v>1.2E-2</v>
      </c>
      <c r="P10" s="16">
        <v>52.29</v>
      </c>
      <c r="Q10" s="3">
        <v>0</v>
      </c>
      <c r="R10" s="17">
        <v>2.166666666666667</v>
      </c>
      <c r="S10" s="3">
        <v>8</v>
      </c>
      <c r="T10" s="36">
        <v>0.77</v>
      </c>
      <c r="U10" s="2" t="s">
        <v>21</v>
      </c>
    </row>
    <row r="11" spans="2:21">
      <c r="B11" s="5">
        <v>45695</v>
      </c>
      <c r="C11" s="11">
        <v>7.0000000000000007E-2</v>
      </c>
      <c r="D11" s="11">
        <v>1.8</v>
      </c>
      <c r="E11" s="3" t="s">
        <v>26</v>
      </c>
      <c r="F11" s="8">
        <v>4.7699999999999996</v>
      </c>
      <c r="G11" s="21">
        <v>0.215</v>
      </c>
      <c r="H11" s="8">
        <v>52.284999999999997</v>
      </c>
      <c r="I11" s="9">
        <v>2.0499999999999998</v>
      </c>
      <c r="J11" s="9">
        <v>449</v>
      </c>
      <c r="K11" s="12">
        <v>35.299999999999997</v>
      </c>
      <c r="L11" s="2" t="s">
        <v>19</v>
      </c>
      <c r="M11" s="3" t="s">
        <v>33</v>
      </c>
      <c r="N11" s="11">
        <v>6.7583333333333329E-2</v>
      </c>
      <c r="O11" s="11">
        <v>1.2E-2</v>
      </c>
      <c r="P11" s="16">
        <v>52.206666666666671</v>
      </c>
      <c r="Q11" s="3">
        <v>0</v>
      </c>
      <c r="R11" s="17">
        <v>2.3833333333333333</v>
      </c>
      <c r="S11" s="3">
        <v>8</v>
      </c>
      <c r="T11" s="36">
        <v>3.6</v>
      </c>
      <c r="U11" s="2" t="s">
        <v>21</v>
      </c>
    </row>
    <row r="12" spans="2:21">
      <c r="B12" s="5">
        <v>45696</v>
      </c>
      <c r="C12" s="11">
        <v>7.0000000000000007E-2</v>
      </c>
      <c r="D12" s="11">
        <v>1.8</v>
      </c>
      <c r="E12" s="3" t="s">
        <v>34</v>
      </c>
      <c r="F12" s="8">
        <f t="shared" ref="F12:J12" si="1">AVERAGE(F9:F11)</f>
        <v>4.708333333333333</v>
      </c>
      <c r="G12" s="21">
        <f t="shared" si="1"/>
        <v>0.21166666666666667</v>
      </c>
      <c r="H12" s="8">
        <f t="shared" si="1"/>
        <v>52.236666666666657</v>
      </c>
      <c r="I12" s="9">
        <f t="shared" si="1"/>
        <v>2.1133333333333333</v>
      </c>
      <c r="J12" s="9">
        <f t="shared" si="1"/>
        <v>441.16666666666669</v>
      </c>
      <c r="K12" s="12">
        <v>38.200000000000003</v>
      </c>
      <c r="L12" s="2" t="s">
        <v>19</v>
      </c>
      <c r="M12" s="3" t="s">
        <v>31</v>
      </c>
      <c r="N12" s="11">
        <v>6.4749999999999988E-2</v>
      </c>
      <c r="O12" s="11">
        <v>7.1000000000000008E-2</v>
      </c>
      <c r="P12" s="16">
        <v>51.854999999999997</v>
      </c>
      <c r="Q12" s="3">
        <v>0</v>
      </c>
      <c r="R12" s="17">
        <v>2.1083333333333334</v>
      </c>
      <c r="S12" s="3">
        <v>8</v>
      </c>
      <c r="T12" s="36">
        <v>1.3</v>
      </c>
      <c r="U12" s="2" t="s">
        <v>21</v>
      </c>
    </row>
    <row r="13" spans="2:21">
      <c r="B13" s="5">
        <v>45697</v>
      </c>
      <c r="C13" s="11">
        <v>7.0000000000000007E-2</v>
      </c>
      <c r="D13" s="11">
        <v>1.68</v>
      </c>
      <c r="E13" s="3" t="s">
        <v>24</v>
      </c>
      <c r="F13" s="8">
        <v>4.93</v>
      </c>
      <c r="G13" s="21">
        <v>0.21500000000000002</v>
      </c>
      <c r="H13" s="8">
        <v>52.24</v>
      </c>
      <c r="I13" s="9">
        <v>2.21</v>
      </c>
      <c r="J13" s="9">
        <v>460.5</v>
      </c>
      <c r="K13" s="12">
        <v>28.2</v>
      </c>
      <c r="L13" s="2" t="s">
        <v>19</v>
      </c>
      <c r="M13" s="3" t="s">
        <v>31</v>
      </c>
      <c r="N13" s="11">
        <v>6.7500000000000004E-2</v>
      </c>
      <c r="O13" s="11">
        <v>1.2500000000000001E-2</v>
      </c>
      <c r="P13" s="16">
        <v>52.334999999999994</v>
      </c>
      <c r="Q13" s="3">
        <v>0</v>
      </c>
      <c r="R13" s="17">
        <v>2.1500000000000004</v>
      </c>
      <c r="S13" s="3">
        <v>8</v>
      </c>
      <c r="T13" s="36">
        <v>1.2</v>
      </c>
      <c r="U13" s="2" t="s">
        <v>21</v>
      </c>
    </row>
    <row r="14" spans="2:21">
      <c r="B14" s="5">
        <v>45698</v>
      </c>
      <c r="C14" s="11">
        <v>7.0000000000000007E-2</v>
      </c>
      <c r="D14" s="11">
        <v>1.5</v>
      </c>
      <c r="E14" s="3" t="s">
        <v>18</v>
      </c>
      <c r="F14" s="8">
        <v>4.82</v>
      </c>
      <c r="G14" s="21">
        <v>0.22500000000000001</v>
      </c>
      <c r="H14" s="8">
        <v>52.195</v>
      </c>
      <c r="I14" s="9">
        <v>2.0449999999999999</v>
      </c>
      <c r="J14" s="9">
        <v>423.5</v>
      </c>
      <c r="K14" s="12">
        <v>28.4</v>
      </c>
      <c r="L14" s="2" t="s">
        <v>19</v>
      </c>
      <c r="M14" s="3" t="s">
        <v>22</v>
      </c>
      <c r="N14" s="11">
        <v>6.7083333333333342E-2</v>
      </c>
      <c r="O14" s="11">
        <v>1.2E-2</v>
      </c>
      <c r="P14" s="16">
        <v>52.14</v>
      </c>
      <c r="Q14" s="3">
        <v>0</v>
      </c>
      <c r="R14" s="17">
        <v>2.1916666666666664</v>
      </c>
      <c r="S14" s="3">
        <v>8</v>
      </c>
      <c r="T14" s="36">
        <v>1</v>
      </c>
      <c r="U14" s="2" t="s">
        <v>21</v>
      </c>
    </row>
    <row r="15" spans="2:21">
      <c r="B15" s="5">
        <v>45699</v>
      </c>
      <c r="C15" s="11">
        <v>7.0000000000000007E-2</v>
      </c>
      <c r="D15" s="11">
        <v>1.57</v>
      </c>
      <c r="E15" s="3" t="s">
        <v>18</v>
      </c>
      <c r="F15" s="8">
        <v>4.7450000000000001</v>
      </c>
      <c r="G15" s="21">
        <v>0.22500000000000001</v>
      </c>
      <c r="H15" s="8">
        <v>52.364999999999995</v>
      </c>
      <c r="I15" s="9">
        <v>2.06</v>
      </c>
      <c r="J15" s="9">
        <v>434.5</v>
      </c>
      <c r="K15" s="12">
        <v>29.6</v>
      </c>
      <c r="L15" s="2" t="s">
        <v>19</v>
      </c>
      <c r="M15" s="3" t="s">
        <v>22</v>
      </c>
      <c r="N15" s="11">
        <v>6.8166666666666667E-2</v>
      </c>
      <c r="O15" s="11">
        <v>1.0999999999999999E-2</v>
      </c>
      <c r="P15" s="16">
        <v>52.19</v>
      </c>
      <c r="Q15" s="3">
        <v>0</v>
      </c>
      <c r="R15" s="17">
        <v>2.2166666666666668</v>
      </c>
      <c r="S15" s="3">
        <v>8</v>
      </c>
      <c r="T15" s="36">
        <v>1.6</v>
      </c>
      <c r="U15" s="2" t="s">
        <v>21</v>
      </c>
    </row>
    <row r="16" spans="2:21">
      <c r="B16" s="5">
        <v>45700</v>
      </c>
      <c r="C16" s="11">
        <v>7.0000000000000007E-2</v>
      </c>
      <c r="D16" s="11">
        <v>1.63</v>
      </c>
      <c r="E16" s="3" t="s">
        <v>18</v>
      </c>
      <c r="F16" s="8">
        <v>4.83</v>
      </c>
      <c r="G16" s="21">
        <v>0.23</v>
      </c>
      <c r="H16" s="8">
        <v>52.334999999999994</v>
      </c>
      <c r="I16" s="9">
        <v>2.2549999999999999</v>
      </c>
      <c r="J16" s="9">
        <v>461.5</v>
      </c>
      <c r="K16" s="12">
        <v>31.2</v>
      </c>
      <c r="L16" s="2" t="s">
        <v>19</v>
      </c>
      <c r="M16" s="3" t="s">
        <v>22</v>
      </c>
      <c r="N16" s="11">
        <v>6.8583333333333329E-2</v>
      </c>
      <c r="O16" s="11">
        <v>1.2E-2</v>
      </c>
      <c r="P16" s="16">
        <v>52.33</v>
      </c>
      <c r="Q16" s="3">
        <v>0</v>
      </c>
      <c r="R16" s="17">
        <v>2.291666666666667</v>
      </c>
      <c r="S16" s="3">
        <v>8</v>
      </c>
      <c r="T16" s="36">
        <v>0.6</v>
      </c>
      <c r="U16" s="2" t="s">
        <v>21</v>
      </c>
    </row>
    <row r="17" spans="2:21">
      <c r="B17" s="5">
        <v>45701</v>
      </c>
      <c r="C17" s="11">
        <v>7.0000000000000007E-2</v>
      </c>
      <c r="D17" s="11">
        <v>1.7</v>
      </c>
      <c r="E17" s="3" t="s">
        <v>18</v>
      </c>
      <c r="F17" s="8">
        <v>4.5</v>
      </c>
      <c r="G17" s="21">
        <v>0.23</v>
      </c>
      <c r="H17" s="8">
        <v>52.099999999999994</v>
      </c>
      <c r="I17" s="9">
        <v>2.0100000000000002</v>
      </c>
      <c r="J17" s="9">
        <v>445.5</v>
      </c>
      <c r="K17" s="12">
        <v>32.700000000000003</v>
      </c>
      <c r="L17" s="2" t="s">
        <v>19</v>
      </c>
      <c r="M17" s="3" t="s">
        <v>31</v>
      </c>
      <c r="N17" s="11">
        <v>6.5666666666666651E-2</v>
      </c>
      <c r="O17" s="11">
        <v>1.2E-2</v>
      </c>
      <c r="P17" s="16">
        <v>51.995000000000005</v>
      </c>
      <c r="Q17" s="3">
        <v>0</v>
      </c>
      <c r="R17" s="17">
        <v>2.1500000000000008</v>
      </c>
      <c r="S17" s="3">
        <v>8</v>
      </c>
      <c r="T17" s="36">
        <v>0.9</v>
      </c>
      <c r="U17" s="2" t="s">
        <v>21</v>
      </c>
    </row>
    <row r="18" spans="2:21">
      <c r="B18" s="5">
        <v>45702</v>
      </c>
      <c r="C18" s="11">
        <v>7.0000000000000007E-2</v>
      </c>
      <c r="D18" s="11">
        <v>1.7</v>
      </c>
      <c r="E18" s="3" t="s">
        <v>18</v>
      </c>
      <c r="F18" s="8">
        <v>4.5999999999999996</v>
      </c>
      <c r="G18" s="21">
        <v>0.215</v>
      </c>
      <c r="H18" s="8">
        <v>52.255000000000003</v>
      </c>
      <c r="I18" s="9">
        <v>2.2350000000000003</v>
      </c>
      <c r="J18" s="9">
        <v>459</v>
      </c>
      <c r="K18" s="12">
        <v>37.200000000000003</v>
      </c>
      <c r="L18" s="2" t="s">
        <v>19</v>
      </c>
      <c r="M18" s="3" t="s">
        <v>31</v>
      </c>
      <c r="N18" s="11">
        <v>6.5916666666666665E-2</v>
      </c>
      <c r="O18" s="11">
        <v>1.2E-2</v>
      </c>
      <c r="P18" s="16">
        <v>52.195</v>
      </c>
      <c r="Q18" s="3">
        <v>0</v>
      </c>
      <c r="R18" s="17">
        <v>2.1583333333333337</v>
      </c>
      <c r="S18" s="3">
        <v>8</v>
      </c>
      <c r="T18" s="36">
        <v>1.4</v>
      </c>
      <c r="U18" s="2" t="s">
        <v>21</v>
      </c>
    </row>
    <row r="19" spans="2:21">
      <c r="B19" s="5">
        <v>45703</v>
      </c>
      <c r="C19" s="11">
        <v>7.0000000000000007E-2</v>
      </c>
      <c r="D19" s="11">
        <v>1.7</v>
      </c>
      <c r="E19" s="3" t="s">
        <v>18</v>
      </c>
      <c r="F19" s="8">
        <v>4.6150000000000002</v>
      </c>
      <c r="G19" s="21">
        <v>0.21</v>
      </c>
      <c r="H19" s="8">
        <v>52.07</v>
      </c>
      <c r="I19" s="9">
        <v>2.1950000000000003</v>
      </c>
      <c r="J19" s="9">
        <v>447.5</v>
      </c>
      <c r="K19" s="12">
        <v>31.5</v>
      </c>
      <c r="L19" s="2" t="s">
        <v>19</v>
      </c>
      <c r="M19" s="3" t="s">
        <v>31</v>
      </c>
      <c r="N19" s="11">
        <v>6.5749999999999989E-2</v>
      </c>
      <c r="O19" s="11">
        <v>1.0999999999999999E-2</v>
      </c>
      <c r="P19" s="16">
        <v>51.924999999999997</v>
      </c>
      <c r="Q19" s="3">
        <v>0</v>
      </c>
      <c r="R19" s="17">
        <v>2.1999999999999997</v>
      </c>
      <c r="S19" s="3">
        <v>8</v>
      </c>
      <c r="T19" s="36">
        <v>1.7</v>
      </c>
      <c r="U19" s="2" t="s">
        <v>21</v>
      </c>
    </row>
    <row r="20" spans="2:21">
      <c r="B20" s="5">
        <v>45704</v>
      </c>
      <c r="C20" s="11">
        <v>7.0000000000000007E-2</v>
      </c>
      <c r="D20" s="11">
        <v>1.75</v>
      </c>
      <c r="E20" s="3" t="s">
        <v>18</v>
      </c>
      <c r="F20" s="8">
        <v>5.2449999999999992</v>
      </c>
      <c r="G20" s="21">
        <v>0.22</v>
      </c>
      <c r="H20" s="8">
        <v>52.120000000000005</v>
      </c>
      <c r="I20" s="9">
        <v>2.25</v>
      </c>
      <c r="J20" s="9">
        <v>459</v>
      </c>
      <c r="K20" s="12">
        <v>31.5</v>
      </c>
      <c r="L20" s="2" t="s">
        <v>19</v>
      </c>
      <c r="M20" s="3" t="s">
        <v>22</v>
      </c>
      <c r="N20" s="11">
        <v>7.0666666666666655E-2</v>
      </c>
      <c r="O20" s="11">
        <v>1.0999999999999999E-2</v>
      </c>
      <c r="P20" s="16">
        <v>52.034999999999997</v>
      </c>
      <c r="Q20" s="3">
        <v>0</v>
      </c>
      <c r="R20" s="17">
        <v>2.2846153846153845</v>
      </c>
      <c r="S20" s="3">
        <v>8</v>
      </c>
      <c r="T20" s="36">
        <v>1.8</v>
      </c>
      <c r="U20" s="2" t="s">
        <v>21</v>
      </c>
    </row>
    <row r="21" spans="2:21">
      <c r="B21" s="5">
        <v>45705</v>
      </c>
      <c r="C21" s="11">
        <v>7.0000000000000007E-2</v>
      </c>
      <c r="D21" s="11">
        <v>1.8</v>
      </c>
      <c r="E21" s="3" t="s">
        <v>18</v>
      </c>
      <c r="F21" s="8">
        <v>5.2350000000000003</v>
      </c>
      <c r="G21" s="21">
        <v>0.22500000000000001</v>
      </c>
      <c r="H21" s="8">
        <v>52.14</v>
      </c>
      <c r="I21" s="9">
        <v>2.27</v>
      </c>
      <c r="J21" s="9">
        <v>469.5</v>
      </c>
      <c r="K21" s="12">
        <v>31.4</v>
      </c>
      <c r="L21" s="2" t="s">
        <v>19</v>
      </c>
      <c r="M21" s="3" t="s">
        <v>22</v>
      </c>
      <c r="N21" s="11">
        <v>7.1083333333333332E-2</v>
      </c>
      <c r="O21" s="11">
        <v>1.2500000000000001E-2</v>
      </c>
      <c r="P21" s="16">
        <v>52.123333333333335</v>
      </c>
      <c r="Q21" s="3">
        <v>0</v>
      </c>
      <c r="R21" s="17">
        <v>2.3230769230769228</v>
      </c>
      <c r="S21" s="3">
        <v>8</v>
      </c>
      <c r="T21" s="36">
        <v>1.1000000000000001</v>
      </c>
      <c r="U21" s="2" t="s">
        <v>21</v>
      </c>
    </row>
    <row r="22" spans="2:21">
      <c r="B22" s="5">
        <v>45706</v>
      </c>
      <c r="C22" s="11">
        <v>7.0000000000000007E-2</v>
      </c>
      <c r="D22" s="11">
        <v>1.75</v>
      </c>
      <c r="E22" s="3" t="s">
        <v>18</v>
      </c>
      <c r="F22" s="8">
        <v>4.7399999999999993</v>
      </c>
      <c r="G22" s="21">
        <v>0.22666666666666668</v>
      </c>
      <c r="H22" s="8">
        <v>52.195</v>
      </c>
      <c r="I22" s="8">
        <v>2.25</v>
      </c>
      <c r="J22" s="9">
        <v>460.5</v>
      </c>
      <c r="K22" s="12">
        <v>35.9</v>
      </c>
      <c r="L22" s="2" t="s">
        <v>19</v>
      </c>
      <c r="M22" s="3" t="s">
        <v>22</v>
      </c>
      <c r="N22" s="11">
        <v>7.0999999999999994E-2</v>
      </c>
      <c r="O22" s="11">
        <v>1.2E-2</v>
      </c>
      <c r="P22" s="16">
        <v>52.186666666666667</v>
      </c>
      <c r="Q22" s="3">
        <v>0</v>
      </c>
      <c r="R22" s="17">
        <v>2.3666666666666663</v>
      </c>
      <c r="S22" s="3">
        <v>8</v>
      </c>
      <c r="T22" s="36">
        <v>1.4</v>
      </c>
      <c r="U22" s="2" t="s">
        <v>21</v>
      </c>
    </row>
    <row r="23" spans="2:21">
      <c r="B23" s="5">
        <v>45707</v>
      </c>
      <c r="C23" s="11">
        <v>7.0000000000000007E-2</v>
      </c>
      <c r="D23" s="11">
        <v>1.7</v>
      </c>
      <c r="E23" s="3" t="s">
        <v>18</v>
      </c>
      <c r="F23" s="8">
        <v>5.2349999999999994</v>
      </c>
      <c r="G23" s="21">
        <v>0.23</v>
      </c>
      <c r="H23" s="8">
        <v>52.31</v>
      </c>
      <c r="I23" s="9">
        <v>2.37</v>
      </c>
      <c r="J23" s="9">
        <v>449.5</v>
      </c>
      <c r="K23" s="12">
        <v>39.9</v>
      </c>
      <c r="L23" s="2" t="s">
        <v>19</v>
      </c>
      <c r="M23" s="3" t="s">
        <v>35</v>
      </c>
      <c r="N23" s="11">
        <v>6.8583333333333329E-2</v>
      </c>
      <c r="O23" s="11">
        <v>1.2E-2</v>
      </c>
      <c r="P23" s="16">
        <v>52.120000000000005</v>
      </c>
      <c r="Q23" s="3">
        <v>0</v>
      </c>
      <c r="R23" s="17">
        <v>2.3250000000000002</v>
      </c>
      <c r="S23" s="3">
        <v>8</v>
      </c>
      <c r="T23" s="36">
        <v>1</v>
      </c>
      <c r="U23" s="2" t="s">
        <v>21</v>
      </c>
    </row>
    <row r="24" spans="2:21">
      <c r="B24" s="5">
        <v>45708</v>
      </c>
      <c r="C24" s="11">
        <v>7.0000000000000007E-2</v>
      </c>
      <c r="D24" s="11">
        <v>1.7</v>
      </c>
      <c r="E24" s="3" t="s">
        <v>18</v>
      </c>
      <c r="F24" s="8">
        <v>4.99</v>
      </c>
      <c r="G24" s="21">
        <v>0.21000000000000002</v>
      </c>
      <c r="H24" s="8">
        <v>52.239999999999995</v>
      </c>
      <c r="I24" s="9">
        <v>2.1850000000000001</v>
      </c>
      <c r="J24" s="9">
        <v>472.5</v>
      </c>
      <c r="K24" s="12">
        <v>32.799999999999997</v>
      </c>
      <c r="L24" s="2" t="s">
        <v>19</v>
      </c>
      <c r="M24" s="3" t="s">
        <v>22</v>
      </c>
      <c r="N24" s="11">
        <v>7.3249999999999996E-2</v>
      </c>
      <c r="O24" s="11">
        <v>1.2E-2</v>
      </c>
      <c r="P24" s="16">
        <v>52.122499999999995</v>
      </c>
      <c r="Q24" s="3">
        <v>0</v>
      </c>
      <c r="R24" s="17">
        <v>2.4083333333333337</v>
      </c>
      <c r="S24" s="3">
        <v>8</v>
      </c>
      <c r="T24" s="36">
        <v>1.3</v>
      </c>
      <c r="U24" s="2" t="s">
        <v>21</v>
      </c>
    </row>
    <row r="25" spans="2:21">
      <c r="B25" s="5">
        <v>45709</v>
      </c>
      <c r="C25" s="11">
        <v>7.0000000000000007E-2</v>
      </c>
      <c r="D25" s="11">
        <v>1.7</v>
      </c>
      <c r="E25" s="3" t="s">
        <v>18</v>
      </c>
      <c r="F25" s="8">
        <v>5.3849999999999998</v>
      </c>
      <c r="G25" s="21">
        <v>0.21000000000000002</v>
      </c>
      <c r="H25" s="8">
        <v>52.21</v>
      </c>
      <c r="I25" s="9">
        <v>2.19</v>
      </c>
      <c r="J25" s="9">
        <v>454.5</v>
      </c>
      <c r="K25" s="12">
        <v>31.1</v>
      </c>
      <c r="L25" s="2" t="s">
        <v>19</v>
      </c>
      <c r="M25" s="3" t="s">
        <v>22</v>
      </c>
      <c r="N25" s="11">
        <v>7.6416666666666661E-2</v>
      </c>
      <c r="O25" s="11">
        <v>1.15E-2</v>
      </c>
      <c r="P25" s="16">
        <v>52.193333333333328</v>
      </c>
      <c r="Q25" s="3">
        <v>0</v>
      </c>
      <c r="R25" s="17">
        <v>2.6583333333333332</v>
      </c>
      <c r="S25" s="3">
        <v>8</v>
      </c>
      <c r="T25" s="36">
        <v>1.6</v>
      </c>
      <c r="U25" s="2" t="s">
        <v>21</v>
      </c>
    </row>
    <row r="26" spans="2:21">
      <c r="B26" s="5">
        <v>45710</v>
      </c>
      <c r="C26" s="11">
        <v>7.0000000000000007E-2</v>
      </c>
      <c r="D26" s="11">
        <v>1.7</v>
      </c>
      <c r="E26" s="3" t="s">
        <v>18</v>
      </c>
      <c r="F26" s="8">
        <v>4.2</v>
      </c>
      <c r="G26" s="21">
        <v>0.23</v>
      </c>
      <c r="H26" s="8">
        <v>52.12</v>
      </c>
      <c r="I26" s="9">
        <v>2.17</v>
      </c>
      <c r="J26" s="9">
        <v>441</v>
      </c>
      <c r="K26" s="12">
        <v>29.7</v>
      </c>
      <c r="L26" s="2" t="s">
        <v>19</v>
      </c>
      <c r="M26" s="3" t="s">
        <v>35</v>
      </c>
      <c r="N26" s="11">
        <v>6.2166666666666669E-2</v>
      </c>
      <c r="O26" s="11">
        <v>1.0999999999999999E-2</v>
      </c>
      <c r="P26" s="16">
        <v>51.95</v>
      </c>
      <c r="Q26" s="3">
        <v>0</v>
      </c>
      <c r="R26" s="3">
        <v>2.1</v>
      </c>
      <c r="S26" s="3">
        <v>8</v>
      </c>
      <c r="T26" s="36">
        <v>3</v>
      </c>
      <c r="U26" s="2" t="s">
        <v>21</v>
      </c>
    </row>
    <row r="27" spans="2:21">
      <c r="B27" s="5">
        <v>45711</v>
      </c>
      <c r="C27" s="11">
        <v>7.0000000000000007E-2</v>
      </c>
      <c r="D27" s="11">
        <v>1.7</v>
      </c>
      <c r="E27" s="3" t="s">
        <v>25</v>
      </c>
      <c r="F27" s="8">
        <v>5</v>
      </c>
      <c r="G27" s="21">
        <v>0.22666666666666668</v>
      </c>
      <c r="H27" s="8">
        <v>52.306666666666672</v>
      </c>
      <c r="I27" s="9">
        <v>2.1733333333333333</v>
      </c>
      <c r="J27" s="9">
        <v>452.33333333333331</v>
      </c>
      <c r="K27" s="12">
        <v>30.9</v>
      </c>
      <c r="L27" s="2" t="s">
        <v>19</v>
      </c>
      <c r="M27" s="3" t="s">
        <v>36</v>
      </c>
      <c r="N27" s="11">
        <v>6.9333333333333358E-2</v>
      </c>
      <c r="O27" s="11">
        <v>1.2500000000000001E-2</v>
      </c>
      <c r="P27" s="16">
        <v>52.286666666666669</v>
      </c>
      <c r="Q27" s="3">
        <v>0</v>
      </c>
      <c r="R27" s="17">
        <v>2.1500000000000004</v>
      </c>
      <c r="S27" s="3">
        <v>8</v>
      </c>
      <c r="T27" s="36">
        <v>0.8</v>
      </c>
      <c r="U27" s="2" t="s">
        <v>21</v>
      </c>
    </row>
    <row r="28" spans="2:21">
      <c r="B28" s="5">
        <v>45712</v>
      </c>
      <c r="C28" s="11">
        <v>7.0000000000000007E-2</v>
      </c>
      <c r="D28" s="11">
        <v>1.7</v>
      </c>
      <c r="E28" s="3" t="s">
        <v>32</v>
      </c>
      <c r="F28" s="8">
        <v>4.9800000000000004</v>
      </c>
      <c r="G28" s="21">
        <v>0.23</v>
      </c>
      <c r="H28" s="8">
        <v>52.356666666666676</v>
      </c>
      <c r="I28" s="9">
        <v>2.2433333333333336</v>
      </c>
      <c r="J28" s="9">
        <v>467</v>
      </c>
      <c r="K28" s="12">
        <v>31.8</v>
      </c>
      <c r="L28" s="2" t="s">
        <v>19</v>
      </c>
      <c r="M28" s="3" t="s">
        <v>36</v>
      </c>
      <c r="N28" s="11">
        <v>7.4076923076923054E-2</v>
      </c>
      <c r="O28" s="11">
        <v>1.2E-2</v>
      </c>
      <c r="P28" s="16">
        <v>52.26</v>
      </c>
      <c r="Q28" s="3">
        <v>0</v>
      </c>
      <c r="R28" s="17">
        <v>2.3538461538461539</v>
      </c>
      <c r="S28" s="3">
        <v>8</v>
      </c>
      <c r="T28" s="36">
        <v>0.8</v>
      </c>
      <c r="U28" s="2" t="s">
        <v>21</v>
      </c>
    </row>
    <row r="29" spans="2:21">
      <c r="B29" s="5">
        <v>45713</v>
      </c>
      <c r="C29" s="11">
        <v>7.0000000000000007E-2</v>
      </c>
      <c r="D29" s="11">
        <v>1.7</v>
      </c>
      <c r="E29" s="3" t="s">
        <v>18</v>
      </c>
      <c r="F29" s="8">
        <v>5.0199999999999996</v>
      </c>
      <c r="G29" s="21">
        <v>0.23</v>
      </c>
      <c r="H29" s="8">
        <v>52.155000000000001</v>
      </c>
      <c r="I29" s="9">
        <v>2.2549999999999999</v>
      </c>
      <c r="J29" s="9">
        <v>462.5</v>
      </c>
      <c r="K29" s="12">
        <v>35</v>
      </c>
      <c r="L29" s="2" t="s">
        <v>19</v>
      </c>
      <c r="M29" s="3" t="s">
        <v>20</v>
      </c>
      <c r="N29" s="11">
        <v>7.5153846153846141E-2</v>
      </c>
      <c r="O29" s="11">
        <v>1.2E-2</v>
      </c>
      <c r="P29" s="16">
        <v>52.115000000000002</v>
      </c>
      <c r="Q29" s="3">
        <v>0</v>
      </c>
      <c r="R29" s="17">
        <v>2.430769230769231</v>
      </c>
      <c r="S29" s="3">
        <v>8</v>
      </c>
      <c r="T29" s="36">
        <v>1.2</v>
      </c>
      <c r="U29" s="2" t="s">
        <v>21</v>
      </c>
    </row>
    <row r="30" spans="2:21">
      <c r="B30" s="5">
        <v>45714</v>
      </c>
      <c r="C30" s="11">
        <v>7.0000000000000007E-2</v>
      </c>
      <c r="D30" s="11">
        <v>1.7</v>
      </c>
      <c r="E30" s="3" t="s">
        <v>25</v>
      </c>
      <c r="F30" s="8">
        <v>4.9499999999999993</v>
      </c>
      <c r="G30" s="21">
        <v>0.22</v>
      </c>
      <c r="H30" s="8">
        <v>52.186666666666667</v>
      </c>
      <c r="I30" s="9">
        <v>2.2233333333333332</v>
      </c>
      <c r="J30" s="9">
        <v>447.33333333333331</v>
      </c>
      <c r="K30" s="12">
        <v>28.7</v>
      </c>
      <c r="L30" s="2" t="s">
        <v>19</v>
      </c>
      <c r="M30" s="3" t="s">
        <v>37</v>
      </c>
      <c r="N30" s="11">
        <v>6.5750000000000017E-2</v>
      </c>
      <c r="O30" s="11">
        <v>1.15E-2</v>
      </c>
      <c r="P30" s="16">
        <v>52.113333333333337</v>
      </c>
      <c r="Q30" s="3">
        <v>0</v>
      </c>
      <c r="R30" s="3">
        <v>2.4000000000000004</v>
      </c>
      <c r="S30" s="3">
        <v>8</v>
      </c>
      <c r="T30" s="36">
        <v>0.5</v>
      </c>
      <c r="U30" s="2" t="s">
        <v>21</v>
      </c>
    </row>
    <row r="31" spans="2:21">
      <c r="B31" s="5">
        <v>45715</v>
      </c>
      <c r="C31" s="11">
        <v>7.0000000000000007E-2</v>
      </c>
      <c r="D31" s="11">
        <v>1.7</v>
      </c>
      <c r="E31" s="3" t="s">
        <v>30</v>
      </c>
      <c r="F31" s="8">
        <v>4.5150000000000006</v>
      </c>
      <c r="G31" s="21">
        <v>0.22</v>
      </c>
      <c r="H31" s="9">
        <v>52.150000000000006</v>
      </c>
      <c r="I31" s="9">
        <v>1.9550000000000001</v>
      </c>
      <c r="J31" s="9">
        <v>441</v>
      </c>
      <c r="K31" s="12">
        <v>24.8</v>
      </c>
      <c r="L31" s="2" t="s">
        <v>19</v>
      </c>
      <c r="M31" s="3" t="s">
        <v>38</v>
      </c>
      <c r="N31" s="11">
        <v>6.0166666666666674E-2</v>
      </c>
      <c r="O31" s="11">
        <v>1.2E-2</v>
      </c>
      <c r="P31" s="16">
        <v>52.06</v>
      </c>
      <c r="Q31" s="3">
        <v>0</v>
      </c>
      <c r="R31" s="17">
        <v>2.0666666666666669</v>
      </c>
      <c r="S31" s="3">
        <v>8</v>
      </c>
      <c r="T31" s="36">
        <v>0.4</v>
      </c>
      <c r="U31" s="2" t="s">
        <v>21</v>
      </c>
    </row>
    <row r="32" spans="2:21">
      <c r="B32" s="5">
        <v>45716</v>
      </c>
      <c r="C32" s="11">
        <v>7.0000000000000007E-2</v>
      </c>
      <c r="D32" s="11">
        <v>1.7</v>
      </c>
      <c r="E32" s="3" t="s">
        <v>39</v>
      </c>
      <c r="F32" s="8">
        <v>4.6466666666666674</v>
      </c>
      <c r="G32" s="21">
        <v>0.22</v>
      </c>
      <c r="H32" s="8">
        <v>52.19</v>
      </c>
      <c r="I32" s="9">
        <v>2.16</v>
      </c>
      <c r="J32" s="9">
        <v>450.66666666666669</v>
      </c>
      <c r="K32" s="12">
        <v>27.9</v>
      </c>
      <c r="L32" s="2" t="s">
        <v>19</v>
      </c>
      <c r="M32" s="3" t="s">
        <v>38</v>
      </c>
      <c r="N32" s="11">
        <v>6.2230769230769228E-2</v>
      </c>
      <c r="O32" s="11">
        <v>1.15E-2</v>
      </c>
      <c r="P32" s="16">
        <v>51.93</v>
      </c>
      <c r="Q32" s="3">
        <v>0</v>
      </c>
      <c r="R32" s="17">
        <v>2.0846153846153852</v>
      </c>
      <c r="S32" s="3">
        <v>8</v>
      </c>
      <c r="T32" s="36">
        <v>0.5</v>
      </c>
      <c r="U32" s="2" t="s">
        <v>21</v>
      </c>
    </row>
    <row r="33" spans="2:11">
      <c r="F33" s="10"/>
      <c r="G33" s="10"/>
      <c r="H33" s="10"/>
      <c r="I33" s="10"/>
      <c r="J33" s="10"/>
      <c r="K33" s="10"/>
    </row>
    <row r="34" spans="2:11">
      <c r="F34" s="10"/>
      <c r="G34" s="10"/>
      <c r="H34" s="10"/>
      <c r="I34" s="10"/>
      <c r="J34" s="10"/>
      <c r="K34" s="10"/>
    </row>
    <row r="35" spans="2:11">
      <c r="B35" s="53"/>
      <c r="C35" s="53"/>
      <c r="D35" s="53"/>
      <c r="F35" s="10"/>
      <c r="G35" s="10"/>
      <c r="H35" s="10"/>
      <c r="I35" s="10"/>
      <c r="J35" s="10"/>
      <c r="K35" s="10"/>
    </row>
    <row r="36" spans="2:11">
      <c r="F36" s="10"/>
      <c r="G36" s="10"/>
      <c r="H36" s="10"/>
      <c r="I36" s="10"/>
      <c r="J36" s="10"/>
      <c r="K36" s="10"/>
    </row>
    <row r="37" spans="2:11">
      <c r="F37" s="10"/>
      <c r="G37" s="10"/>
      <c r="H37" s="10"/>
      <c r="I37" s="10"/>
      <c r="J37" s="10"/>
      <c r="K37" s="10"/>
    </row>
    <row r="38" spans="2:11">
      <c r="K38" s="10"/>
    </row>
    <row r="39" spans="2:11">
      <c r="K39" s="10"/>
    </row>
  </sheetData>
  <mergeCells count="6">
    <mergeCell ref="M3:U3"/>
    <mergeCell ref="B35:D35"/>
    <mergeCell ref="B3:B4"/>
    <mergeCell ref="C3:C4"/>
    <mergeCell ref="D3:D4"/>
    <mergeCell ref="E3:L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3494-4DE9-425E-837B-CFD85C21A42D}">
  <sheetPr codeName="Sheet3"/>
  <dimension ref="B3:U40"/>
  <sheetViews>
    <sheetView topLeftCell="E1" workbookViewId="0">
      <selection activeCell="G35" sqref="G35"/>
    </sheetView>
  </sheetViews>
  <sheetFormatPr defaultRowHeight="15"/>
  <cols>
    <col min="2" max="4" width="15.7109375" style="4" customWidth="1"/>
    <col min="5" max="5" width="14.85546875" style="4" customWidth="1"/>
    <col min="6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45717</v>
      </c>
      <c r="C5" s="11">
        <v>7.0000000000000007E-2</v>
      </c>
      <c r="D5" s="11">
        <v>1.7</v>
      </c>
      <c r="E5" s="3" t="s">
        <v>34</v>
      </c>
      <c r="F5" s="8">
        <v>5.07</v>
      </c>
      <c r="G5" s="21">
        <v>0.22666666666666668</v>
      </c>
      <c r="H5" s="8">
        <v>52.323333333333331</v>
      </c>
      <c r="I5" s="8">
        <v>2.1933333333333334</v>
      </c>
      <c r="J5" s="8">
        <v>459.66666666666669</v>
      </c>
      <c r="K5" s="12">
        <v>29.3</v>
      </c>
      <c r="L5" s="2" t="s">
        <v>19</v>
      </c>
      <c r="M5" s="3" t="s">
        <v>40</v>
      </c>
      <c r="N5" s="20">
        <v>6.2076923076923092E-2</v>
      </c>
      <c r="O5" s="20">
        <v>1.2500000000000001E-2</v>
      </c>
      <c r="P5" s="13">
        <v>52.096666666666664</v>
      </c>
      <c r="Q5" s="14">
        <v>0</v>
      </c>
      <c r="R5" s="15">
        <v>2.1538461538461537</v>
      </c>
      <c r="S5" s="17">
        <v>8</v>
      </c>
      <c r="T5" s="17">
        <v>0.8</v>
      </c>
      <c r="U5" s="2" t="s">
        <v>21</v>
      </c>
    </row>
    <row r="6" spans="2:21">
      <c r="B6" s="5">
        <v>45718</v>
      </c>
      <c r="C6" s="11">
        <v>7.0000000000000007E-2</v>
      </c>
      <c r="D6" s="11">
        <v>1.7</v>
      </c>
      <c r="E6" s="3" t="s">
        <v>24</v>
      </c>
      <c r="F6" s="8">
        <v>5.1166666666666671</v>
      </c>
      <c r="G6" s="21">
        <v>0.23</v>
      </c>
      <c r="H6" s="8">
        <v>52.356666666666662</v>
      </c>
      <c r="I6" s="9">
        <v>2.2200000000000002</v>
      </c>
      <c r="J6" s="9">
        <v>444.66666666666669</v>
      </c>
      <c r="K6" s="12">
        <v>33.6</v>
      </c>
      <c r="L6" s="2" t="s">
        <v>19</v>
      </c>
      <c r="M6" s="3" t="s">
        <v>20</v>
      </c>
      <c r="N6" s="11">
        <v>7.1999999999999995E-2</v>
      </c>
      <c r="O6" s="11">
        <v>1.2E-2</v>
      </c>
      <c r="P6" s="16">
        <v>52.379999999999995</v>
      </c>
      <c r="Q6" s="3">
        <v>0</v>
      </c>
      <c r="R6" s="17">
        <v>2.333333333333333</v>
      </c>
      <c r="S6" s="17">
        <v>8</v>
      </c>
      <c r="T6" s="17">
        <v>1.3</v>
      </c>
      <c r="U6" s="2" t="s">
        <v>21</v>
      </c>
    </row>
    <row r="7" spans="2:21">
      <c r="B7" s="5">
        <v>45719</v>
      </c>
      <c r="C7" s="11">
        <v>7.0000000000000007E-2</v>
      </c>
      <c r="D7" s="11">
        <v>1.7</v>
      </c>
      <c r="E7" s="3" t="s">
        <v>18</v>
      </c>
      <c r="F7" s="8">
        <v>5.6850000000000005</v>
      </c>
      <c r="G7" s="21">
        <v>0.21500000000000002</v>
      </c>
      <c r="H7" s="8">
        <v>52.335000000000001</v>
      </c>
      <c r="I7" s="9">
        <v>2.2250000000000001</v>
      </c>
      <c r="J7" s="9">
        <v>458</v>
      </c>
      <c r="K7" s="12">
        <v>32.700000000000003</v>
      </c>
      <c r="L7" s="2" t="s">
        <v>19</v>
      </c>
      <c r="M7" s="3" t="s">
        <v>22</v>
      </c>
      <c r="N7" s="11">
        <v>7.0416666666666655E-2</v>
      </c>
      <c r="O7" s="11">
        <v>1.0999999999999999E-2</v>
      </c>
      <c r="P7" s="16">
        <v>52.2</v>
      </c>
      <c r="Q7" s="3">
        <v>0</v>
      </c>
      <c r="R7" s="17">
        <v>2.4</v>
      </c>
      <c r="S7" s="17">
        <v>8</v>
      </c>
      <c r="T7" s="17">
        <v>0.9</v>
      </c>
      <c r="U7" s="2" t="s">
        <v>21</v>
      </c>
    </row>
    <row r="8" spans="2:21">
      <c r="B8" s="5">
        <v>45720</v>
      </c>
      <c r="C8" s="11">
        <v>7.0000000000000007E-2</v>
      </c>
      <c r="D8" s="11">
        <v>1.7</v>
      </c>
      <c r="E8" s="3" t="s">
        <v>18</v>
      </c>
      <c r="F8" s="8">
        <v>5.72</v>
      </c>
      <c r="G8" s="21">
        <v>0.23499999999999999</v>
      </c>
      <c r="H8" s="8">
        <v>52.239999999999995</v>
      </c>
      <c r="I8" s="9">
        <v>2.4699999999999998</v>
      </c>
      <c r="J8" s="9">
        <v>479</v>
      </c>
      <c r="K8" s="12">
        <v>32.9</v>
      </c>
      <c r="L8" s="2" t="s">
        <v>19</v>
      </c>
      <c r="M8" s="3" t="s">
        <v>22</v>
      </c>
      <c r="N8" s="11">
        <v>7.0333333333333345E-2</v>
      </c>
      <c r="O8" s="11">
        <v>1.2E-2</v>
      </c>
      <c r="P8" s="16">
        <v>52.339999999999996</v>
      </c>
      <c r="Q8" s="3">
        <v>0</v>
      </c>
      <c r="R8" s="17">
        <v>2.5076923076923077</v>
      </c>
      <c r="S8" s="17">
        <v>8</v>
      </c>
      <c r="T8" s="17">
        <v>0.9</v>
      </c>
      <c r="U8" s="2" t="s">
        <v>21</v>
      </c>
    </row>
    <row r="9" spans="2:21">
      <c r="B9" s="5">
        <v>45721</v>
      </c>
      <c r="C9" s="11">
        <v>7.0000000000000007E-2</v>
      </c>
      <c r="D9" s="11">
        <v>1.7</v>
      </c>
      <c r="E9" s="3" t="s">
        <v>18</v>
      </c>
      <c r="F9" s="8">
        <v>5.52</v>
      </c>
      <c r="G9" s="21">
        <v>0.24</v>
      </c>
      <c r="H9" s="8">
        <v>52.355000000000004</v>
      </c>
      <c r="I9" s="9">
        <v>2.33</v>
      </c>
      <c r="J9" s="9">
        <v>523.5</v>
      </c>
      <c r="K9" s="12">
        <v>33.700000000000003</v>
      </c>
      <c r="L9" s="2" t="s">
        <v>19</v>
      </c>
      <c r="M9" s="3" t="s">
        <v>36</v>
      </c>
      <c r="N9" s="11">
        <v>6.2714285714285722E-2</v>
      </c>
      <c r="O9" s="11">
        <v>1.0999999999999999E-2</v>
      </c>
      <c r="P9" s="16">
        <v>52.214999999999996</v>
      </c>
      <c r="Q9" s="3">
        <v>0</v>
      </c>
      <c r="R9" s="17">
        <v>2.3071428571428569</v>
      </c>
      <c r="S9" s="17">
        <v>8</v>
      </c>
      <c r="T9" s="17">
        <v>0.6</v>
      </c>
      <c r="U9" s="2" t="s">
        <v>21</v>
      </c>
    </row>
    <row r="10" spans="2:21">
      <c r="B10" s="5">
        <v>45722</v>
      </c>
      <c r="C10" s="11">
        <v>7.0000000000000007E-2</v>
      </c>
      <c r="D10" s="11">
        <v>1.7</v>
      </c>
      <c r="E10" s="3" t="s">
        <v>18</v>
      </c>
      <c r="F10" s="8">
        <v>5.5950000000000006</v>
      </c>
      <c r="G10" s="21">
        <v>0.21500000000000002</v>
      </c>
      <c r="H10" s="8">
        <v>52.3</v>
      </c>
      <c r="I10" s="9">
        <v>2.1349999999999998</v>
      </c>
      <c r="J10" s="9">
        <v>467.5</v>
      </c>
      <c r="K10" s="12">
        <v>34.4</v>
      </c>
      <c r="L10" s="2" t="s">
        <v>19</v>
      </c>
      <c r="M10" s="3" t="s">
        <v>41</v>
      </c>
      <c r="N10" s="11">
        <v>6.5416666666666665E-2</v>
      </c>
      <c r="O10" s="11">
        <v>1.2500000000000001E-2</v>
      </c>
      <c r="P10" s="16">
        <v>52.22</v>
      </c>
      <c r="Q10" s="3">
        <v>0</v>
      </c>
      <c r="R10" s="17">
        <v>2.2250000000000001</v>
      </c>
      <c r="S10" s="17">
        <v>8</v>
      </c>
      <c r="T10" s="17">
        <v>0.4</v>
      </c>
      <c r="U10" s="2" t="s">
        <v>21</v>
      </c>
    </row>
    <row r="11" spans="2:21">
      <c r="B11" s="5">
        <v>45723</v>
      </c>
      <c r="C11" s="11">
        <v>7.0000000000000007E-2</v>
      </c>
      <c r="D11" s="11">
        <v>1.7</v>
      </c>
      <c r="E11" s="3" t="s">
        <v>42</v>
      </c>
      <c r="F11" s="8">
        <v>5.7850000000000001</v>
      </c>
      <c r="G11" s="21">
        <v>0.20500000000000002</v>
      </c>
      <c r="H11" s="8">
        <v>52.325000000000003</v>
      </c>
      <c r="I11" s="9">
        <v>1.96</v>
      </c>
      <c r="J11" s="9">
        <v>471.5</v>
      </c>
      <c r="K11" s="12">
        <v>33.1</v>
      </c>
      <c r="L11" s="2" t="s">
        <v>19</v>
      </c>
      <c r="M11" s="3" t="s">
        <v>41</v>
      </c>
      <c r="N11" s="11">
        <v>6.2083333333333351E-2</v>
      </c>
      <c r="O11" s="11">
        <v>1.2E-2</v>
      </c>
      <c r="P11" s="16">
        <v>52.346666666666664</v>
      </c>
      <c r="Q11" s="3">
        <v>0</v>
      </c>
      <c r="R11" s="17">
        <v>2.2083333333333335</v>
      </c>
      <c r="S11" s="17">
        <v>8</v>
      </c>
      <c r="T11" s="17">
        <v>0.4</v>
      </c>
      <c r="U11" s="2" t="s">
        <v>21</v>
      </c>
    </row>
    <row r="12" spans="2:21">
      <c r="B12" s="5">
        <v>45724</v>
      </c>
      <c r="C12" s="11">
        <v>7.0000000000000007E-2</v>
      </c>
      <c r="D12" s="11">
        <v>1.7</v>
      </c>
      <c r="E12" s="3" t="s">
        <v>43</v>
      </c>
      <c r="F12" s="8">
        <v>4.5366666666666671</v>
      </c>
      <c r="G12" s="21">
        <v>0.22333333333333336</v>
      </c>
      <c r="H12" s="8">
        <v>52.116666666666667</v>
      </c>
      <c r="I12" s="9">
        <v>2.2599999999999998</v>
      </c>
      <c r="J12" s="9">
        <v>465.66666666666669</v>
      </c>
      <c r="K12" s="12">
        <v>32.200000000000003</v>
      </c>
      <c r="L12" s="2" t="s">
        <v>19</v>
      </c>
      <c r="M12" s="3" t="s">
        <v>38</v>
      </c>
      <c r="N12" s="11">
        <v>5.9166666666666666E-2</v>
      </c>
      <c r="O12" s="11">
        <v>1.2E-2</v>
      </c>
      <c r="P12" s="16">
        <v>52.125</v>
      </c>
      <c r="Q12" s="3">
        <v>0</v>
      </c>
      <c r="R12" s="17">
        <v>1.9249999999999998</v>
      </c>
      <c r="S12" s="17">
        <v>8</v>
      </c>
      <c r="T12" s="17">
        <v>0.6</v>
      </c>
      <c r="U12" s="2" t="s">
        <v>21</v>
      </c>
    </row>
    <row r="13" spans="2:21">
      <c r="B13" s="5">
        <v>45725</v>
      </c>
      <c r="C13" s="11">
        <v>7.0000000000000007E-2</v>
      </c>
      <c r="D13" s="11">
        <v>1.7</v>
      </c>
      <c r="E13" s="3" t="s">
        <v>32</v>
      </c>
      <c r="F13" s="8">
        <v>5.1633333333333331</v>
      </c>
      <c r="G13" s="21">
        <v>0.23333333333333331</v>
      </c>
      <c r="H13" s="8">
        <v>52.233333333333327</v>
      </c>
      <c r="I13" s="9">
        <v>2.27</v>
      </c>
      <c r="J13" s="9">
        <v>460.66666666666669</v>
      </c>
      <c r="K13" s="12">
        <v>29.9</v>
      </c>
      <c r="L13" s="2" t="s">
        <v>19</v>
      </c>
      <c r="M13" s="3" t="s">
        <v>38</v>
      </c>
      <c r="N13" s="11">
        <v>6.1749999999999999E-2</v>
      </c>
      <c r="O13" s="11">
        <v>1.2E-2</v>
      </c>
      <c r="P13" s="16">
        <v>52.09</v>
      </c>
      <c r="Q13" s="3">
        <v>0</v>
      </c>
      <c r="R13" s="17">
        <v>2.0166666666666666</v>
      </c>
      <c r="S13" s="17">
        <v>8</v>
      </c>
      <c r="T13" s="17">
        <v>0.4</v>
      </c>
      <c r="U13" s="2" t="s">
        <v>21</v>
      </c>
    </row>
    <row r="14" spans="2:21">
      <c r="B14" s="5">
        <v>45726</v>
      </c>
      <c r="C14" s="11">
        <v>7.0000000000000007E-2</v>
      </c>
      <c r="D14" s="11">
        <v>1.75</v>
      </c>
      <c r="E14" s="3" t="s">
        <v>18</v>
      </c>
      <c r="F14" s="8">
        <v>5.58</v>
      </c>
      <c r="G14" s="21">
        <v>0.23499999999999999</v>
      </c>
      <c r="H14" s="8">
        <v>52.244999999999997</v>
      </c>
      <c r="I14" s="9">
        <v>2.2599999999999998</v>
      </c>
      <c r="J14" s="9">
        <v>460.5</v>
      </c>
      <c r="K14" s="12">
        <v>30.9</v>
      </c>
      <c r="L14" s="2" t="s">
        <v>19</v>
      </c>
      <c r="M14" s="3" t="s">
        <v>40</v>
      </c>
      <c r="N14" s="11">
        <v>7.0249999999999993E-2</v>
      </c>
      <c r="O14" s="11">
        <v>1.2500000000000001E-2</v>
      </c>
      <c r="P14" s="16">
        <v>52.363333333333337</v>
      </c>
      <c r="Q14" s="3">
        <v>0</v>
      </c>
      <c r="R14" s="17">
        <v>2.2416666666666667</v>
      </c>
      <c r="S14" s="17">
        <v>8</v>
      </c>
      <c r="T14" s="17">
        <v>0.7</v>
      </c>
      <c r="U14" s="2" t="s">
        <v>21</v>
      </c>
    </row>
    <row r="15" spans="2:21">
      <c r="B15" s="5">
        <v>45727</v>
      </c>
      <c r="C15" s="11">
        <v>7.0000000000000007E-2</v>
      </c>
      <c r="D15" s="11">
        <v>1.7</v>
      </c>
      <c r="E15" s="3" t="s">
        <v>18</v>
      </c>
      <c r="F15" s="8">
        <v>5.33</v>
      </c>
      <c r="G15" s="21">
        <v>0.22</v>
      </c>
      <c r="H15" s="8">
        <v>52.31</v>
      </c>
      <c r="I15" s="9">
        <v>2.2800000000000002</v>
      </c>
      <c r="J15" s="9">
        <v>466.5</v>
      </c>
      <c r="K15" s="12">
        <v>31.8</v>
      </c>
      <c r="L15" s="2" t="s">
        <v>19</v>
      </c>
      <c r="M15" s="3" t="s">
        <v>20</v>
      </c>
      <c r="N15" s="11">
        <v>6.8666666666666654E-2</v>
      </c>
      <c r="O15" s="11">
        <v>1.2E-2</v>
      </c>
      <c r="P15" s="16">
        <v>52.4</v>
      </c>
      <c r="Q15" s="3">
        <v>0</v>
      </c>
      <c r="R15" s="17">
        <v>2.3538461538461535</v>
      </c>
      <c r="S15" s="17">
        <v>8</v>
      </c>
      <c r="T15" s="17">
        <v>0.8</v>
      </c>
      <c r="U15" s="2" t="s">
        <v>21</v>
      </c>
    </row>
    <row r="16" spans="2:21">
      <c r="B16" s="5">
        <v>45728</v>
      </c>
      <c r="C16" s="11">
        <v>7.0000000000000007E-2</v>
      </c>
      <c r="D16" s="11">
        <v>1.7</v>
      </c>
      <c r="E16" s="3" t="s">
        <v>18</v>
      </c>
      <c r="F16" s="8">
        <v>5.16</v>
      </c>
      <c r="G16" s="21">
        <v>0.21</v>
      </c>
      <c r="H16" s="8">
        <v>52.375</v>
      </c>
      <c r="I16" s="9">
        <v>2.2050000000000001</v>
      </c>
      <c r="J16" s="9">
        <v>446.5</v>
      </c>
      <c r="K16" s="12">
        <v>28.1</v>
      </c>
      <c r="L16" s="2" t="s">
        <v>19</v>
      </c>
      <c r="M16" s="3" t="s">
        <v>20</v>
      </c>
      <c r="N16" s="11">
        <v>7.141666666666667E-2</v>
      </c>
      <c r="O16" s="11">
        <v>1.0999999999999999E-2</v>
      </c>
      <c r="P16" s="16">
        <v>52.375</v>
      </c>
      <c r="Q16" s="3">
        <v>0</v>
      </c>
      <c r="R16" s="17">
        <v>2.3333333333333326</v>
      </c>
      <c r="S16" s="17">
        <v>8</v>
      </c>
      <c r="T16" s="17">
        <v>0.7</v>
      </c>
      <c r="U16" s="2" t="s">
        <v>21</v>
      </c>
    </row>
    <row r="17" spans="2:21">
      <c r="B17" s="5">
        <v>45729</v>
      </c>
      <c r="C17" s="11">
        <v>6.8000000000000005E-2</v>
      </c>
      <c r="D17" s="11">
        <v>1.7</v>
      </c>
      <c r="E17" s="3" t="s">
        <v>18</v>
      </c>
      <c r="F17" s="8">
        <v>5.1899999999999995</v>
      </c>
      <c r="G17" s="21">
        <v>0.22500000000000001</v>
      </c>
      <c r="H17" s="8">
        <v>52.445</v>
      </c>
      <c r="I17" s="9">
        <v>2.2000000000000002</v>
      </c>
      <c r="J17" s="9">
        <v>457</v>
      </c>
      <c r="K17" s="12">
        <v>30.1</v>
      </c>
      <c r="L17" s="2" t="s">
        <v>19</v>
      </c>
      <c r="M17" s="3" t="s">
        <v>22</v>
      </c>
      <c r="N17" s="11">
        <v>7.308333333333332E-2</v>
      </c>
      <c r="O17" s="11">
        <v>1.2500000000000001E-2</v>
      </c>
      <c r="P17" s="16">
        <v>52.406666666666666</v>
      </c>
      <c r="Q17" s="3">
        <v>0</v>
      </c>
      <c r="R17" s="17">
        <v>2.3749999999999996</v>
      </c>
      <c r="S17" s="17">
        <v>8</v>
      </c>
      <c r="T17" s="17">
        <v>0.4</v>
      </c>
      <c r="U17" s="2" t="s">
        <v>21</v>
      </c>
    </row>
    <row r="18" spans="2:21">
      <c r="B18" s="5">
        <v>45730</v>
      </c>
      <c r="C18" s="3">
        <v>6.9000000000000006E-2</v>
      </c>
      <c r="D18" s="11">
        <v>1.7</v>
      </c>
      <c r="E18" s="3" t="s">
        <v>18</v>
      </c>
      <c r="F18" s="8">
        <v>5.2850000000000001</v>
      </c>
      <c r="G18" s="21">
        <v>0.23</v>
      </c>
      <c r="H18" s="8">
        <v>52.224999999999994</v>
      </c>
      <c r="I18" s="9">
        <v>2.21</v>
      </c>
      <c r="J18" s="9">
        <v>450</v>
      </c>
      <c r="K18" s="12">
        <v>32.799999999999997</v>
      </c>
      <c r="L18" s="2" t="s">
        <v>19</v>
      </c>
      <c r="M18" s="3" t="s">
        <v>20</v>
      </c>
      <c r="N18" s="11">
        <v>7.0166666666666655E-2</v>
      </c>
      <c r="O18" s="11">
        <v>1.2E-2</v>
      </c>
      <c r="P18" s="16">
        <v>52.209999999999994</v>
      </c>
      <c r="Q18" s="3">
        <v>0</v>
      </c>
      <c r="R18" s="17">
        <v>2.1999999999999997</v>
      </c>
      <c r="S18" s="17">
        <v>8</v>
      </c>
      <c r="T18" s="17">
        <v>0.8</v>
      </c>
      <c r="U18" s="2" t="s">
        <v>21</v>
      </c>
    </row>
    <row r="19" spans="2:21">
      <c r="B19" s="5">
        <v>45731</v>
      </c>
      <c r="C19" s="11">
        <v>6.5000000000000002E-2</v>
      </c>
      <c r="D19" s="11">
        <v>1.7</v>
      </c>
      <c r="E19" s="3" t="s">
        <v>18</v>
      </c>
      <c r="F19" s="8">
        <v>5.29</v>
      </c>
      <c r="G19" s="21">
        <v>0.22</v>
      </c>
      <c r="H19" s="8">
        <v>52.204999999999998</v>
      </c>
      <c r="I19" s="9">
        <v>2.2549999999999999</v>
      </c>
      <c r="J19" s="9">
        <v>447</v>
      </c>
      <c r="K19" s="12">
        <v>32.1</v>
      </c>
      <c r="L19" s="2" t="s">
        <v>19</v>
      </c>
      <c r="M19" s="3" t="s">
        <v>20</v>
      </c>
      <c r="N19" s="11">
        <v>9.415384615384613E-2</v>
      </c>
      <c r="O19" s="11">
        <v>1.2E-2</v>
      </c>
      <c r="P19" s="16">
        <v>52.115000000000002</v>
      </c>
      <c r="Q19" s="3">
        <v>0</v>
      </c>
      <c r="R19" s="17">
        <v>2.2384615384615389</v>
      </c>
      <c r="S19" s="17">
        <v>8</v>
      </c>
      <c r="T19" s="17">
        <v>0.9</v>
      </c>
      <c r="U19" s="2" t="s">
        <v>21</v>
      </c>
    </row>
    <row r="20" spans="2:21">
      <c r="B20" s="5">
        <v>45732</v>
      </c>
      <c r="C20" s="3">
        <v>6.5000000000000002E-2</v>
      </c>
      <c r="D20" s="11">
        <v>1.69</v>
      </c>
      <c r="E20" s="3" t="s">
        <v>18</v>
      </c>
      <c r="F20" s="8">
        <v>4.5250000000000004</v>
      </c>
      <c r="G20" s="21">
        <v>0.21500000000000002</v>
      </c>
      <c r="H20" s="8">
        <v>52.224999999999994</v>
      </c>
      <c r="I20" s="9">
        <v>2.27</v>
      </c>
      <c r="J20" s="9">
        <v>455.5</v>
      </c>
      <c r="K20" s="12">
        <v>32.9</v>
      </c>
      <c r="L20" s="2" t="s">
        <v>19</v>
      </c>
      <c r="M20" s="3" t="s">
        <v>20</v>
      </c>
      <c r="N20" s="11">
        <v>6.3666666666666663E-2</v>
      </c>
      <c r="O20" s="11">
        <v>1.2500000000000001E-2</v>
      </c>
      <c r="P20" s="16">
        <v>52.15</v>
      </c>
      <c r="Q20" s="3">
        <v>0</v>
      </c>
      <c r="R20" s="17">
        <v>2.1750000000000003</v>
      </c>
      <c r="S20" s="17">
        <v>8</v>
      </c>
      <c r="T20" s="17">
        <v>0.9</v>
      </c>
      <c r="U20" s="2" t="s">
        <v>21</v>
      </c>
    </row>
    <row r="21" spans="2:21">
      <c r="B21" s="5">
        <v>45733</v>
      </c>
      <c r="C21" s="11">
        <v>6.5000000000000002E-2</v>
      </c>
      <c r="D21" s="11">
        <v>1.7</v>
      </c>
      <c r="E21" s="3" t="s">
        <v>18</v>
      </c>
      <c r="F21" s="8">
        <v>5.2</v>
      </c>
      <c r="G21" s="21">
        <v>0.215</v>
      </c>
      <c r="H21" s="8">
        <v>52.295000000000002</v>
      </c>
      <c r="I21" s="9">
        <v>2.31</v>
      </c>
      <c r="J21" s="9">
        <v>456</v>
      </c>
      <c r="K21" s="12">
        <v>34.299999999999997</v>
      </c>
      <c r="L21" s="2" t="s">
        <v>19</v>
      </c>
      <c r="M21" s="3" t="s">
        <v>22</v>
      </c>
      <c r="N21" s="11">
        <v>7.0166666666666669E-2</v>
      </c>
      <c r="O21" s="11">
        <v>1.0999999999999999E-2</v>
      </c>
      <c r="P21" s="16">
        <v>52.222500000000004</v>
      </c>
      <c r="Q21" s="3">
        <v>0</v>
      </c>
      <c r="R21" s="17">
        <v>2.35</v>
      </c>
      <c r="S21" s="17">
        <v>8</v>
      </c>
      <c r="T21" s="17">
        <v>0.4</v>
      </c>
      <c r="U21" s="2" t="s">
        <v>21</v>
      </c>
    </row>
    <row r="22" spans="2:21">
      <c r="B22" s="5">
        <v>45734</v>
      </c>
      <c r="C22" s="11">
        <v>6.5000000000000002E-2</v>
      </c>
      <c r="D22" s="11">
        <v>1.55</v>
      </c>
      <c r="E22" s="3" t="s">
        <v>18</v>
      </c>
      <c r="F22" s="8">
        <v>4.7050000000000001</v>
      </c>
      <c r="G22" s="21">
        <v>0.23</v>
      </c>
      <c r="H22" s="8">
        <v>52.185000000000002</v>
      </c>
      <c r="I22" s="8">
        <v>2.2650000000000001</v>
      </c>
      <c r="J22" s="9">
        <v>461</v>
      </c>
      <c r="K22" s="12">
        <v>29.2</v>
      </c>
      <c r="L22" s="2" t="s">
        <v>19</v>
      </c>
      <c r="M22" s="3" t="s">
        <v>20</v>
      </c>
      <c r="N22" s="11">
        <v>6.6416666666666679E-2</v>
      </c>
      <c r="O22" s="11">
        <v>1.2500000000000001E-2</v>
      </c>
      <c r="P22" s="16">
        <v>52.1</v>
      </c>
      <c r="Q22" s="3">
        <v>0</v>
      </c>
      <c r="R22" s="17">
        <v>2.1916666666666669</v>
      </c>
      <c r="S22" s="17">
        <v>8</v>
      </c>
      <c r="T22" s="4">
        <v>0.3</v>
      </c>
      <c r="U22" s="2" t="s">
        <v>21</v>
      </c>
    </row>
    <row r="23" spans="2:21">
      <c r="B23" s="5">
        <v>45735</v>
      </c>
      <c r="C23" s="11">
        <v>6.5000000000000002E-2</v>
      </c>
      <c r="D23" s="11">
        <v>1.29</v>
      </c>
      <c r="E23" s="3" t="s">
        <v>18</v>
      </c>
      <c r="F23" s="8">
        <v>4.7249999999999996</v>
      </c>
      <c r="G23" s="21">
        <v>0.20500000000000002</v>
      </c>
      <c r="H23" s="8">
        <v>52.41</v>
      </c>
      <c r="I23" s="9">
        <v>2.2350000000000003</v>
      </c>
      <c r="J23" s="9">
        <v>460</v>
      </c>
      <c r="K23" s="12">
        <v>29.7</v>
      </c>
      <c r="L23" s="2" t="s">
        <v>19</v>
      </c>
      <c r="M23" s="3" t="s">
        <v>20</v>
      </c>
      <c r="N23" s="11">
        <v>6.8916666666666682E-2</v>
      </c>
      <c r="O23" s="11">
        <v>1.0999999999999999E-2</v>
      </c>
      <c r="P23" s="16">
        <v>52.010000000000005</v>
      </c>
      <c r="Q23" s="3">
        <v>0</v>
      </c>
      <c r="R23" s="17">
        <v>2.1083333333333338</v>
      </c>
      <c r="S23" s="17">
        <v>8</v>
      </c>
      <c r="T23" s="17">
        <v>1.8</v>
      </c>
      <c r="U23" s="2" t="s">
        <v>21</v>
      </c>
    </row>
    <row r="24" spans="2:21">
      <c r="B24" s="5">
        <v>45736</v>
      </c>
      <c r="C24" s="11">
        <v>6.5000000000000002E-2</v>
      </c>
      <c r="D24" s="11">
        <v>1.32</v>
      </c>
      <c r="E24" s="3" t="s">
        <v>18</v>
      </c>
      <c r="F24" s="8">
        <v>4.4350000000000005</v>
      </c>
      <c r="G24" s="21">
        <v>0.23499999999999999</v>
      </c>
      <c r="H24" s="8">
        <v>52.08</v>
      </c>
      <c r="I24" s="9">
        <v>2.21</v>
      </c>
      <c r="J24" s="9">
        <v>449</v>
      </c>
      <c r="K24" s="12">
        <v>29.2</v>
      </c>
      <c r="L24" s="2" t="s">
        <v>19</v>
      </c>
      <c r="M24" s="3" t="s">
        <v>20</v>
      </c>
      <c r="N24" s="11">
        <v>6.4500000000000002E-2</v>
      </c>
      <c r="O24" s="11">
        <v>1.15E-2</v>
      </c>
      <c r="P24" s="16">
        <v>52.09</v>
      </c>
      <c r="Q24" s="3">
        <v>0</v>
      </c>
      <c r="R24" s="17">
        <v>2.1</v>
      </c>
      <c r="S24" s="17">
        <v>8</v>
      </c>
      <c r="T24" s="17">
        <v>0.9</v>
      </c>
      <c r="U24" s="2" t="s">
        <v>21</v>
      </c>
    </row>
    <row r="25" spans="2:21">
      <c r="B25" s="5">
        <v>45737</v>
      </c>
      <c r="C25" s="3">
        <v>6.5000000000000002E-2</v>
      </c>
      <c r="D25" s="11">
        <v>1.5</v>
      </c>
      <c r="E25" s="3" t="s">
        <v>25</v>
      </c>
      <c r="F25" s="8">
        <v>4.2499999999999991</v>
      </c>
      <c r="G25" s="21">
        <v>0.22333333333333336</v>
      </c>
      <c r="H25" s="8">
        <v>52.21</v>
      </c>
      <c r="I25" s="9">
        <v>2.2833333333333332</v>
      </c>
      <c r="J25" s="9">
        <v>455.66666666666669</v>
      </c>
      <c r="K25" s="12">
        <v>32.1</v>
      </c>
      <c r="L25" s="2" t="s">
        <v>19</v>
      </c>
      <c r="M25" s="3" t="s">
        <v>20</v>
      </c>
      <c r="N25" s="11">
        <v>6.3250000000000015E-2</v>
      </c>
      <c r="O25" s="11">
        <v>1.2E-2</v>
      </c>
      <c r="P25" s="16">
        <v>52.04</v>
      </c>
      <c r="Q25" s="3">
        <v>0</v>
      </c>
      <c r="R25" s="17">
        <v>2.1083333333333338</v>
      </c>
      <c r="S25" s="17">
        <v>8</v>
      </c>
      <c r="T25" s="17">
        <v>1.7</v>
      </c>
      <c r="U25" s="2" t="s">
        <v>21</v>
      </c>
    </row>
    <row r="26" spans="2:21">
      <c r="B26" s="5">
        <v>45738</v>
      </c>
      <c r="C26" s="3">
        <v>6.5000000000000002E-2</v>
      </c>
      <c r="D26" s="11">
        <v>1.6</v>
      </c>
      <c r="E26" s="3" t="s">
        <v>44</v>
      </c>
      <c r="F26" s="8">
        <v>4.62</v>
      </c>
      <c r="G26" s="21">
        <v>0.22</v>
      </c>
      <c r="H26" s="8">
        <v>52.064999999999998</v>
      </c>
      <c r="I26" s="9">
        <v>2.3099999999999996</v>
      </c>
      <c r="J26" s="9">
        <v>461.5</v>
      </c>
      <c r="K26" s="12">
        <v>29.1</v>
      </c>
      <c r="L26" s="2" t="s">
        <v>19</v>
      </c>
      <c r="M26" s="3" t="s">
        <v>45</v>
      </c>
      <c r="N26" s="11">
        <v>6.3750000000000015E-2</v>
      </c>
      <c r="O26" s="11">
        <v>1.2500000000000001E-2</v>
      </c>
      <c r="P26" s="16">
        <v>51.893333333333338</v>
      </c>
      <c r="Q26" s="3">
        <v>0</v>
      </c>
      <c r="R26" s="17">
        <v>2.2333333333333334</v>
      </c>
      <c r="S26" s="17">
        <v>8</v>
      </c>
      <c r="T26" s="17">
        <v>1.3</v>
      </c>
      <c r="U26" s="2" t="s">
        <v>21</v>
      </c>
    </row>
    <row r="27" spans="2:21">
      <c r="B27" s="5">
        <v>45739</v>
      </c>
      <c r="C27" s="3">
        <v>6.5000000000000002E-2</v>
      </c>
      <c r="D27" s="11">
        <v>1.5</v>
      </c>
      <c r="E27" s="3" t="s">
        <v>46</v>
      </c>
      <c r="F27" s="8">
        <v>4.4350000000000005</v>
      </c>
      <c r="G27" s="21">
        <v>0.215</v>
      </c>
      <c r="H27" s="8">
        <v>52.244999999999997</v>
      </c>
      <c r="I27" s="9">
        <v>2.25</v>
      </c>
      <c r="J27" s="9">
        <v>459</v>
      </c>
      <c r="K27" s="12">
        <v>28</v>
      </c>
      <c r="L27" s="2" t="s">
        <v>19</v>
      </c>
      <c r="M27" s="3" t="s">
        <v>45</v>
      </c>
      <c r="N27" s="11">
        <v>6.8999999999999992E-2</v>
      </c>
      <c r="O27" s="11">
        <v>1.2500000000000001E-2</v>
      </c>
      <c r="P27" s="16">
        <v>52.173333333333339</v>
      </c>
      <c r="Q27" s="3">
        <v>0</v>
      </c>
      <c r="R27" s="17">
        <v>2.3416666666666659</v>
      </c>
      <c r="S27" s="17">
        <v>8</v>
      </c>
      <c r="T27" s="17">
        <v>1.6</v>
      </c>
      <c r="U27" s="2" t="s">
        <v>21</v>
      </c>
    </row>
    <row r="28" spans="2:21">
      <c r="B28" s="5">
        <v>45740</v>
      </c>
      <c r="C28" s="11">
        <v>6.5000000000000002E-2</v>
      </c>
      <c r="D28" s="11">
        <v>1.44</v>
      </c>
      <c r="E28" s="3" t="s">
        <v>18</v>
      </c>
      <c r="F28" s="8">
        <v>4.6449999999999996</v>
      </c>
      <c r="G28" s="21">
        <v>0.22500000000000001</v>
      </c>
      <c r="H28" s="8">
        <v>52.25</v>
      </c>
      <c r="I28" s="9">
        <v>2.2350000000000003</v>
      </c>
      <c r="J28" s="9">
        <v>456</v>
      </c>
      <c r="K28" s="12">
        <v>25.7</v>
      </c>
      <c r="L28" s="2" t="s">
        <v>19</v>
      </c>
      <c r="M28" s="3" t="s">
        <v>45</v>
      </c>
      <c r="N28" s="11">
        <v>5.9076923076923096E-2</v>
      </c>
      <c r="O28" s="11">
        <v>1.0499999999999999E-2</v>
      </c>
      <c r="P28" s="16">
        <v>52.103333333333332</v>
      </c>
      <c r="Q28" s="3">
        <v>0</v>
      </c>
      <c r="R28" s="17">
        <v>2.1230769230769231</v>
      </c>
      <c r="S28" s="17">
        <v>8</v>
      </c>
      <c r="T28" s="17">
        <v>0.6</v>
      </c>
      <c r="U28" s="2" t="s">
        <v>21</v>
      </c>
    </row>
    <row r="29" spans="2:21">
      <c r="B29" s="5">
        <v>45741</v>
      </c>
      <c r="C29" s="11">
        <v>6.5000000000000002E-2</v>
      </c>
      <c r="D29" s="11">
        <v>1.4</v>
      </c>
      <c r="E29" s="3" t="s">
        <v>18</v>
      </c>
      <c r="F29" s="8">
        <v>4.32</v>
      </c>
      <c r="G29" s="21">
        <v>0.22</v>
      </c>
      <c r="H29" s="8">
        <v>52.484999999999999</v>
      </c>
      <c r="I29" s="9">
        <v>2.2549999999999999</v>
      </c>
      <c r="J29" s="9">
        <v>467.5</v>
      </c>
      <c r="K29" s="12">
        <v>28.4</v>
      </c>
      <c r="L29" s="2" t="s">
        <v>19</v>
      </c>
      <c r="M29" s="3" t="s">
        <v>20</v>
      </c>
      <c r="N29" s="11">
        <v>6.25E-2</v>
      </c>
      <c r="O29" s="11">
        <v>1.0999999999999999E-2</v>
      </c>
      <c r="P29" s="16">
        <v>52.36</v>
      </c>
      <c r="Q29" s="3">
        <v>0</v>
      </c>
      <c r="R29" s="17">
        <v>2.0833333333333339</v>
      </c>
      <c r="S29" s="17">
        <v>8</v>
      </c>
      <c r="T29" s="17">
        <v>0.6</v>
      </c>
      <c r="U29" s="2" t="s">
        <v>21</v>
      </c>
    </row>
    <row r="30" spans="2:21">
      <c r="B30" s="5">
        <v>45742</v>
      </c>
      <c r="C30" s="11">
        <v>6.5000000000000002E-2</v>
      </c>
      <c r="D30" s="11">
        <v>1.46</v>
      </c>
      <c r="E30" s="3" t="s">
        <v>47</v>
      </c>
      <c r="F30" s="8">
        <v>4.3899999999999997</v>
      </c>
      <c r="G30" s="21">
        <v>0.22666666666666668</v>
      </c>
      <c r="H30" s="8">
        <v>52.416666666666664</v>
      </c>
      <c r="I30" s="9">
        <v>2.2366666666666668</v>
      </c>
      <c r="J30" s="9">
        <v>450.33333333333331</v>
      </c>
      <c r="K30" s="12">
        <v>37.299999999999997</v>
      </c>
      <c r="L30" s="2" t="s">
        <v>19</v>
      </c>
      <c r="M30" s="3" t="s">
        <v>48</v>
      </c>
      <c r="N30" s="11">
        <v>6.1416666666666654E-2</v>
      </c>
      <c r="O30" s="11">
        <v>1.2E-2</v>
      </c>
      <c r="P30" s="16">
        <v>52.28</v>
      </c>
      <c r="Q30" s="3">
        <v>0</v>
      </c>
      <c r="R30" s="17">
        <v>2.1666666666666665</v>
      </c>
      <c r="S30" s="17">
        <v>8</v>
      </c>
      <c r="T30" s="17">
        <v>1</v>
      </c>
      <c r="U30" s="2" t="s">
        <v>21</v>
      </c>
    </row>
    <row r="31" spans="2:21">
      <c r="B31" s="5">
        <v>45743</v>
      </c>
      <c r="C31" s="11">
        <v>6.5000000000000002E-2</v>
      </c>
      <c r="D31" s="11">
        <v>1.5</v>
      </c>
      <c r="E31" s="3" t="s">
        <v>25</v>
      </c>
      <c r="F31" s="8">
        <v>4.5266666666666673</v>
      </c>
      <c r="G31" s="21">
        <v>0.20666666666666667</v>
      </c>
      <c r="H31" s="9">
        <v>52.550000000000004</v>
      </c>
      <c r="I31" s="9">
        <v>2.25</v>
      </c>
      <c r="J31" s="9">
        <v>446</v>
      </c>
      <c r="K31" s="12">
        <v>28.8</v>
      </c>
      <c r="L31" s="2" t="s">
        <v>19</v>
      </c>
      <c r="M31" s="3" t="s">
        <v>49</v>
      </c>
      <c r="N31" s="11">
        <v>6.2333333333333331E-2</v>
      </c>
      <c r="O31" s="11">
        <v>1.2E-2</v>
      </c>
      <c r="P31" s="16">
        <v>52.599999999999994</v>
      </c>
      <c r="Q31" s="3">
        <v>0</v>
      </c>
      <c r="R31" s="17">
        <v>2.2250000000000001</v>
      </c>
      <c r="S31" s="17">
        <v>8</v>
      </c>
      <c r="T31" s="17">
        <v>0.8</v>
      </c>
      <c r="U31" s="2" t="s">
        <v>21</v>
      </c>
    </row>
    <row r="32" spans="2:21">
      <c r="B32" s="5">
        <v>45744</v>
      </c>
      <c r="C32" s="11">
        <v>6.5000000000000002E-2</v>
      </c>
      <c r="D32" s="11">
        <v>1.5</v>
      </c>
      <c r="E32" s="3" t="s">
        <v>50</v>
      </c>
      <c r="F32" s="8">
        <v>4.6433333333333335</v>
      </c>
      <c r="G32" s="21">
        <v>0.22666666666666666</v>
      </c>
      <c r="H32" s="8">
        <v>52.666666666666664</v>
      </c>
      <c r="I32" s="9">
        <v>2.2566666666666664</v>
      </c>
      <c r="J32" s="9">
        <v>459.33333333333331</v>
      </c>
      <c r="K32" s="12">
        <v>29.8</v>
      </c>
      <c r="L32" s="2" t="s">
        <v>19</v>
      </c>
      <c r="M32" s="3" t="s">
        <v>20</v>
      </c>
      <c r="N32" s="11">
        <v>6.25E-2</v>
      </c>
      <c r="O32" s="11">
        <v>1.2E-2</v>
      </c>
      <c r="P32" s="16">
        <v>52.776666666666671</v>
      </c>
      <c r="Q32" s="3">
        <v>0</v>
      </c>
      <c r="R32" s="17">
        <v>2.0750000000000002</v>
      </c>
      <c r="S32" s="17">
        <v>8</v>
      </c>
      <c r="T32" s="17">
        <v>0.5</v>
      </c>
      <c r="U32" s="2" t="s">
        <v>21</v>
      </c>
    </row>
    <row r="33" spans="2:21">
      <c r="B33" s="5">
        <v>45745</v>
      </c>
      <c r="C33" s="11">
        <v>6.5000000000000002E-2</v>
      </c>
      <c r="D33" s="11">
        <v>1.5</v>
      </c>
      <c r="E33" s="3" t="s">
        <v>18</v>
      </c>
      <c r="F33" s="8">
        <v>4.6099999999999994</v>
      </c>
      <c r="G33" s="21">
        <v>0.22</v>
      </c>
      <c r="H33" s="8">
        <v>52.784999999999997</v>
      </c>
      <c r="I33" s="9">
        <v>2.31</v>
      </c>
      <c r="J33" s="9">
        <v>462</v>
      </c>
      <c r="K33" s="12">
        <v>30.6</v>
      </c>
      <c r="L33" s="2" t="s">
        <v>19</v>
      </c>
      <c r="M33" s="3" t="s">
        <v>49</v>
      </c>
      <c r="N33" s="11">
        <v>5.9923076923076919E-2</v>
      </c>
      <c r="O33" s="11">
        <v>1.0999999999999999E-2</v>
      </c>
      <c r="P33" s="16">
        <v>52.746666666666663</v>
      </c>
      <c r="Q33" s="3">
        <v>0</v>
      </c>
      <c r="R33" s="17">
        <v>2.2923076923076922</v>
      </c>
      <c r="S33" s="17">
        <v>8</v>
      </c>
      <c r="T33" s="17">
        <v>1.6</v>
      </c>
      <c r="U33" s="2" t="s">
        <v>21</v>
      </c>
    </row>
    <row r="34" spans="2:21">
      <c r="B34" s="5">
        <v>45746</v>
      </c>
      <c r="C34" s="11">
        <v>6.5000000000000002E-2</v>
      </c>
      <c r="D34" s="11">
        <v>1.5</v>
      </c>
      <c r="E34" s="3" t="s">
        <v>18</v>
      </c>
      <c r="F34" s="8">
        <v>4.5949999999999998</v>
      </c>
      <c r="G34" s="21">
        <v>0.22500000000000001</v>
      </c>
      <c r="H34" s="8">
        <v>52.625</v>
      </c>
      <c r="I34" s="9">
        <v>2.2350000000000003</v>
      </c>
      <c r="J34" s="9">
        <v>455.5</v>
      </c>
      <c r="K34" s="12">
        <v>29.9</v>
      </c>
      <c r="L34" s="2" t="s">
        <v>19</v>
      </c>
      <c r="M34" s="3" t="s">
        <v>40</v>
      </c>
      <c r="N34" s="11">
        <v>6.1583333333333344E-2</v>
      </c>
      <c r="O34" s="11">
        <v>1.2E-2</v>
      </c>
      <c r="P34" s="16">
        <v>52.669999999999995</v>
      </c>
      <c r="Q34" s="3">
        <v>0</v>
      </c>
      <c r="R34" s="17">
        <v>2.1833333333333331</v>
      </c>
      <c r="S34" s="17">
        <v>8</v>
      </c>
      <c r="T34" s="17">
        <v>1.6</v>
      </c>
      <c r="U34" s="2" t="s">
        <v>21</v>
      </c>
    </row>
    <row r="35" spans="2:21">
      <c r="B35" s="5">
        <v>45747</v>
      </c>
      <c r="C35" s="3">
        <v>6.5000000000000002E-2</v>
      </c>
      <c r="D35" s="3">
        <v>1.5</v>
      </c>
      <c r="E35" s="3" t="s">
        <v>18</v>
      </c>
      <c r="F35" s="16">
        <v>4.4400000000000004</v>
      </c>
      <c r="G35" s="11">
        <v>0.22</v>
      </c>
      <c r="H35" s="16">
        <v>52.47</v>
      </c>
      <c r="I35" s="16">
        <v>2.2050000000000001</v>
      </c>
      <c r="J35" s="16">
        <v>442.5</v>
      </c>
      <c r="K35" s="17">
        <v>29.9</v>
      </c>
      <c r="L35" s="2" t="s">
        <v>19</v>
      </c>
      <c r="M35" s="3" t="s">
        <v>22</v>
      </c>
      <c r="N35" s="11">
        <v>6.1499999999999999E-2</v>
      </c>
      <c r="O35" s="3">
        <v>1.2E-2</v>
      </c>
      <c r="P35" s="16">
        <v>52.493333333333332</v>
      </c>
      <c r="Q35" s="3">
        <v>0</v>
      </c>
      <c r="R35" s="17">
        <v>2.1916666666666664</v>
      </c>
      <c r="S35" s="17">
        <v>8</v>
      </c>
      <c r="T35" s="3">
        <v>1.7</v>
      </c>
      <c r="U35" s="2" t="s">
        <v>21</v>
      </c>
    </row>
    <row r="36" spans="2:21">
      <c r="B36" s="53"/>
      <c r="C36" s="53"/>
      <c r="D36" s="53"/>
      <c r="F36" s="10"/>
      <c r="G36" s="10"/>
      <c r="H36" s="10"/>
      <c r="I36" s="10"/>
      <c r="J36" s="10"/>
      <c r="K36" s="10"/>
    </row>
    <row r="37" spans="2:21"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K39" s="10"/>
    </row>
    <row r="40" spans="2:21">
      <c r="K40" s="10"/>
    </row>
  </sheetData>
  <mergeCells count="6">
    <mergeCell ref="M3:U3"/>
    <mergeCell ref="B36:D36"/>
    <mergeCell ref="B3:B4"/>
    <mergeCell ref="C3:C4"/>
    <mergeCell ref="D3:D4"/>
    <mergeCell ref="E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3249-9ED7-4AFF-82B8-ABB63CB135EA}">
  <sheetPr codeName="Sheet4"/>
  <dimension ref="B3:U41"/>
  <sheetViews>
    <sheetView workbookViewId="0">
      <selection activeCell="F38" sqref="F38"/>
    </sheetView>
  </sheetViews>
  <sheetFormatPr defaultRowHeight="15"/>
  <cols>
    <col min="2" max="4" width="15.7109375" style="4" customWidth="1"/>
    <col min="5" max="11" width="10.7109375" style="4" customWidth="1"/>
    <col min="12" max="12" width="10.7109375" style="1" customWidth="1"/>
    <col min="13" max="13" width="23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45748</v>
      </c>
      <c r="C5" s="3">
        <v>6.5000000000000002E-2</v>
      </c>
      <c r="D5" s="11">
        <v>1.65</v>
      </c>
      <c r="E5" s="3" t="s">
        <v>18</v>
      </c>
      <c r="F5" s="8">
        <v>4.7149999999999999</v>
      </c>
      <c r="G5" s="21">
        <v>0.22</v>
      </c>
      <c r="H5" s="8">
        <v>52.555</v>
      </c>
      <c r="I5" s="8">
        <v>2.23</v>
      </c>
      <c r="J5" s="8">
        <v>457.5</v>
      </c>
      <c r="K5" s="12">
        <v>30.2</v>
      </c>
      <c r="L5" s="2" t="s">
        <v>19</v>
      </c>
      <c r="M5" s="3" t="s">
        <v>20</v>
      </c>
      <c r="N5" s="20">
        <v>6.133333333333333E-2</v>
      </c>
      <c r="O5" s="20">
        <v>1.2E-2</v>
      </c>
      <c r="P5" s="13">
        <v>52.663333333333334</v>
      </c>
      <c r="Q5" s="14">
        <v>0</v>
      </c>
      <c r="R5" s="15">
        <v>2.1916666666666664</v>
      </c>
      <c r="S5" s="17">
        <v>8</v>
      </c>
      <c r="T5" s="17">
        <v>1.4</v>
      </c>
      <c r="U5" s="2" t="s">
        <v>21</v>
      </c>
    </row>
    <row r="6" spans="2:21">
      <c r="B6" s="5">
        <v>45749</v>
      </c>
      <c r="C6" s="3">
        <v>6.5000000000000002E-2</v>
      </c>
      <c r="D6" s="11">
        <v>1.8</v>
      </c>
      <c r="E6" s="3" t="s">
        <v>18</v>
      </c>
      <c r="F6" s="8">
        <v>4.76</v>
      </c>
      <c r="G6" s="21">
        <v>0.215</v>
      </c>
      <c r="H6" s="8">
        <v>52.605000000000004</v>
      </c>
      <c r="I6" s="9">
        <v>2.2400000000000002</v>
      </c>
      <c r="J6" s="9">
        <v>458</v>
      </c>
      <c r="K6" s="12">
        <v>34.5</v>
      </c>
      <c r="L6" s="2" t="s">
        <v>19</v>
      </c>
      <c r="M6" s="3" t="s">
        <v>49</v>
      </c>
      <c r="N6" s="11">
        <v>6.6357142857142851E-2</v>
      </c>
      <c r="O6" s="11">
        <v>1.2E-2</v>
      </c>
      <c r="P6" s="16">
        <v>52.597999999999999</v>
      </c>
      <c r="Q6" s="3">
        <v>0</v>
      </c>
      <c r="R6" s="17">
        <v>2.4933333333333336</v>
      </c>
      <c r="S6" s="17">
        <v>8</v>
      </c>
      <c r="T6" s="17">
        <v>2.1</v>
      </c>
      <c r="U6" s="2" t="s">
        <v>21</v>
      </c>
    </row>
    <row r="7" spans="2:21">
      <c r="B7" s="5">
        <v>45750</v>
      </c>
      <c r="C7" s="11">
        <v>6.5000000000000002E-2</v>
      </c>
      <c r="D7" s="11">
        <v>1.97</v>
      </c>
      <c r="E7" s="3" t="s">
        <v>18</v>
      </c>
      <c r="F7" s="8">
        <v>4.51</v>
      </c>
      <c r="G7" s="21">
        <v>0.22</v>
      </c>
      <c r="H7" s="8">
        <v>52.45</v>
      </c>
      <c r="I7" s="9">
        <v>2.2000000000000002</v>
      </c>
      <c r="J7" s="9">
        <v>440</v>
      </c>
      <c r="K7" s="12">
        <v>35.9</v>
      </c>
      <c r="L7" s="2" t="s">
        <v>19</v>
      </c>
      <c r="M7" s="3" t="s">
        <v>48</v>
      </c>
      <c r="N7" s="11">
        <v>6.1166666666666668E-2</v>
      </c>
      <c r="O7" s="11">
        <v>1.2500000000000001E-2</v>
      </c>
      <c r="P7" s="16">
        <v>52.5</v>
      </c>
      <c r="Q7" s="3">
        <v>0</v>
      </c>
      <c r="R7" s="17">
        <v>2.3583333333333329</v>
      </c>
      <c r="S7" s="17">
        <v>8</v>
      </c>
      <c r="T7" s="17">
        <v>1.8</v>
      </c>
      <c r="U7" s="2" t="s">
        <v>21</v>
      </c>
    </row>
    <row r="8" spans="2:21">
      <c r="B8" s="5">
        <v>45751</v>
      </c>
      <c r="C8" s="11">
        <v>6.5000000000000002E-2</v>
      </c>
      <c r="D8" s="11">
        <v>1.97</v>
      </c>
      <c r="E8" s="3" t="s">
        <v>18</v>
      </c>
      <c r="F8" s="8">
        <v>4.13</v>
      </c>
      <c r="G8" s="21">
        <v>0.22</v>
      </c>
      <c r="H8" s="8">
        <v>52.69</v>
      </c>
      <c r="I8" s="9">
        <v>2.2450000000000001</v>
      </c>
      <c r="J8" s="9">
        <v>449</v>
      </c>
      <c r="K8" s="12">
        <v>36.4</v>
      </c>
      <c r="L8" s="2" t="s">
        <v>19</v>
      </c>
      <c r="M8" s="3" t="s">
        <v>51</v>
      </c>
      <c r="N8" s="11">
        <v>6.7083333333333328E-2</v>
      </c>
      <c r="O8" s="11">
        <v>1.0999999999999999E-2</v>
      </c>
      <c r="P8" s="16">
        <v>52.85</v>
      </c>
      <c r="Q8" s="3">
        <v>0</v>
      </c>
      <c r="R8" s="17">
        <v>2.3833333333333333</v>
      </c>
      <c r="S8" s="17">
        <v>8</v>
      </c>
      <c r="T8" s="17">
        <v>0.5</v>
      </c>
      <c r="U8" s="2" t="s">
        <v>21</v>
      </c>
    </row>
    <row r="9" spans="2:21">
      <c r="B9" s="5">
        <v>45752</v>
      </c>
      <c r="C9" s="11">
        <v>6.5000000000000002E-2</v>
      </c>
      <c r="D9" s="11">
        <v>1.8</v>
      </c>
      <c r="E9" s="3" t="s">
        <v>18</v>
      </c>
      <c r="F9" s="8">
        <v>4.8699999999999992</v>
      </c>
      <c r="G9" s="21">
        <v>0.20500000000000002</v>
      </c>
      <c r="H9" s="8">
        <v>52.95</v>
      </c>
      <c r="I9" s="9">
        <v>2.2450000000000001</v>
      </c>
      <c r="J9" s="9">
        <v>458.5</v>
      </c>
      <c r="K9" s="12">
        <v>35.799999999999997</v>
      </c>
      <c r="L9" s="2" t="s">
        <v>19</v>
      </c>
      <c r="M9" s="3" t="s">
        <v>20</v>
      </c>
      <c r="N9" s="11">
        <v>7.0833333333333318E-2</v>
      </c>
      <c r="O9" s="11">
        <v>1.0999999999999999E-2</v>
      </c>
      <c r="P9" s="16">
        <v>53.12</v>
      </c>
      <c r="Q9" s="3">
        <v>0</v>
      </c>
      <c r="R9" s="17">
        <v>2.1333333333333337</v>
      </c>
      <c r="S9" s="17">
        <v>8</v>
      </c>
      <c r="T9" s="17">
        <v>0.8</v>
      </c>
      <c r="U9" s="2" t="s">
        <v>21</v>
      </c>
    </row>
    <row r="10" spans="2:21">
      <c r="B10" s="5">
        <v>45753</v>
      </c>
      <c r="C10" s="11">
        <v>6.5000000000000002E-2</v>
      </c>
      <c r="D10" s="11">
        <v>1.47</v>
      </c>
      <c r="E10" s="3" t="s">
        <v>18</v>
      </c>
      <c r="F10" s="8">
        <v>4.97</v>
      </c>
      <c r="G10" s="21">
        <v>0.21000000000000002</v>
      </c>
      <c r="H10" s="8">
        <v>53.245000000000005</v>
      </c>
      <c r="I10" s="9">
        <v>2.2999999999999998</v>
      </c>
      <c r="J10" s="9">
        <v>484.5</v>
      </c>
      <c r="K10" s="12">
        <v>30.4</v>
      </c>
      <c r="L10" s="2" t="s">
        <v>19</v>
      </c>
      <c r="M10" s="3" t="s">
        <v>48</v>
      </c>
      <c r="N10" s="11">
        <v>6.974166666666666E-2</v>
      </c>
      <c r="O10" s="11">
        <v>1.0999999999999999E-2</v>
      </c>
      <c r="P10" s="16">
        <v>53.153333333333336</v>
      </c>
      <c r="Q10" s="3">
        <v>0</v>
      </c>
      <c r="R10" s="17">
        <v>2.1833333333333336</v>
      </c>
      <c r="S10" s="17">
        <v>8</v>
      </c>
      <c r="T10" s="17">
        <v>0.7</v>
      </c>
      <c r="U10" s="2" t="s">
        <v>21</v>
      </c>
    </row>
    <row r="11" spans="2:21">
      <c r="B11" s="5">
        <v>45754</v>
      </c>
      <c r="C11" s="3">
        <v>6.5000000000000002E-2</v>
      </c>
      <c r="D11" s="11">
        <v>1.25</v>
      </c>
      <c r="E11" s="3" t="s">
        <v>18</v>
      </c>
      <c r="F11" s="8">
        <v>4.9950000000000001</v>
      </c>
      <c r="G11" s="21">
        <v>0.22500000000000001</v>
      </c>
      <c r="H11" s="8">
        <v>53.349999999999994</v>
      </c>
      <c r="I11" s="9">
        <v>2.2699999999999996</v>
      </c>
      <c r="J11" s="9">
        <v>478</v>
      </c>
      <c r="K11" s="12">
        <v>29.4</v>
      </c>
      <c r="L11" s="2" t="s">
        <v>19</v>
      </c>
      <c r="M11" s="3" t="s">
        <v>22</v>
      </c>
      <c r="N11" s="11">
        <v>7.0166666666666669E-2</v>
      </c>
      <c r="O11" s="11">
        <v>1.15E-2</v>
      </c>
      <c r="P11" s="16">
        <v>53.113333333333337</v>
      </c>
      <c r="Q11" s="3">
        <v>0</v>
      </c>
      <c r="R11" s="17">
        <v>2.3785714285714294</v>
      </c>
      <c r="S11" s="17">
        <v>8</v>
      </c>
      <c r="T11" s="17">
        <v>0.6</v>
      </c>
      <c r="U11" s="2" t="s">
        <v>21</v>
      </c>
    </row>
    <row r="12" spans="2:21">
      <c r="B12" s="5">
        <v>45755</v>
      </c>
      <c r="C12" s="11">
        <v>6.5000000000000002E-2</v>
      </c>
      <c r="D12" s="11">
        <v>1.1399999999999999</v>
      </c>
      <c r="E12" s="3" t="s">
        <v>18</v>
      </c>
      <c r="F12" s="8">
        <v>4.58</v>
      </c>
      <c r="G12" s="21">
        <v>0.22500000000000001</v>
      </c>
      <c r="H12" s="8">
        <v>53.09</v>
      </c>
      <c r="I12" s="9">
        <v>2.3250000000000002</v>
      </c>
      <c r="J12" s="9">
        <v>479</v>
      </c>
      <c r="K12" s="12">
        <v>32.299999999999997</v>
      </c>
      <c r="L12" s="2" t="s">
        <v>19</v>
      </c>
      <c r="M12" s="3" t="s">
        <v>20</v>
      </c>
      <c r="N12" s="11">
        <v>6.5333333333333313E-2</v>
      </c>
      <c r="O12" s="11">
        <v>1.15E-2</v>
      </c>
      <c r="P12" s="16">
        <v>52.94</v>
      </c>
      <c r="Q12" s="3">
        <v>0</v>
      </c>
      <c r="R12" s="17">
        <v>2.1833333333333331</v>
      </c>
      <c r="S12" s="17">
        <v>8</v>
      </c>
      <c r="T12" s="17">
        <v>1</v>
      </c>
      <c r="U12" s="2" t="s">
        <v>21</v>
      </c>
    </row>
    <row r="13" spans="2:21">
      <c r="B13" s="5">
        <v>45756</v>
      </c>
      <c r="C13" s="11">
        <v>6.5000000000000002E-2</v>
      </c>
      <c r="D13" s="11">
        <v>1.1299999999999999</v>
      </c>
      <c r="E13" s="3" t="s">
        <v>18</v>
      </c>
      <c r="F13" s="8">
        <v>4.8149999999999995</v>
      </c>
      <c r="G13" s="21">
        <v>0.22</v>
      </c>
      <c r="H13" s="8">
        <v>52.59</v>
      </c>
      <c r="I13" s="9">
        <v>2.16</v>
      </c>
      <c r="J13" s="9">
        <v>441.5</v>
      </c>
      <c r="K13" s="12">
        <v>34.5</v>
      </c>
      <c r="L13" s="2" t="s">
        <v>19</v>
      </c>
      <c r="M13" s="3" t="s">
        <v>20</v>
      </c>
      <c r="N13" s="18">
        <v>7.0384615384615393E-2</v>
      </c>
      <c r="O13" s="11">
        <v>1.2E-2</v>
      </c>
      <c r="P13" s="16">
        <v>52.519999999999996</v>
      </c>
      <c r="Q13" s="3">
        <v>0</v>
      </c>
      <c r="R13" s="17">
        <v>2.2923076923076922</v>
      </c>
      <c r="S13" s="17">
        <v>8</v>
      </c>
      <c r="T13" s="17">
        <v>1.2</v>
      </c>
      <c r="U13" s="2" t="s">
        <v>21</v>
      </c>
    </row>
    <row r="14" spans="2:21">
      <c r="B14" s="5">
        <v>45757</v>
      </c>
      <c r="C14" s="11">
        <v>6.5000000000000002E-2</v>
      </c>
      <c r="D14" s="11">
        <v>1.1499999999999999</v>
      </c>
      <c r="E14" s="3" t="s">
        <v>18</v>
      </c>
      <c r="F14" s="8">
        <v>4.8899999999999997</v>
      </c>
      <c r="G14" s="21">
        <v>0.22</v>
      </c>
      <c r="H14" s="8">
        <v>52.6</v>
      </c>
      <c r="I14" s="9">
        <v>2.3049999999999997</v>
      </c>
      <c r="J14" s="9">
        <v>473.5</v>
      </c>
      <c r="K14" s="12">
        <v>34</v>
      </c>
      <c r="L14" s="2" t="s">
        <v>19</v>
      </c>
      <c r="M14" s="3" t="s">
        <v>20</v>
      </c>
      <c r="N14" s="11">
        <v>7.6307692307692299E-2</v>
      </c>
      <c r="O14" s="11">
        <v>1.2E-2</v>
      </c>
      <c r="P14" s="16">
        <v>52.583333333333336</v>
      </c>
      <c r="Q14" s="3">
        <v>0</v>
      </c>
      <c r="R14" s="17">
        <v>2.4428571428571431</v>
      </c>
      <c r="S14" s="17">
        <v>8</v>
      </c>
      <c r="T14" s="17">
        <v>2.5</v>
      </c>
      <c r="U14" s="2" t="s">
        <v>21</v>
      </c>
    </row>
    <row r="15" spans="2:21">
      <c r="B15" s="5">
        <v>45758</v>
      </c>
      <c r="C15" s="11">
        <v>6.5000000000000002E-2</v>
      </c>
      <c r="D15" s="11">
        <v>1.2708333329999999</v>
      </c>
      <c r="E15" s="3" t="s">
        <v>18</v>
      </c>
      <c r="F15" s="8">
        <v>4.2050000000000001</v>
      </c>
      <c r="G15" s="21">
        <v>0.21500000000000002</v>
      </c>
      <c r="H15" s="8">
        <v>52.870000000000005</v>
      </c>
      <c r="I15" s="9">
        <v>2.29</v>
      </c>
      <c r="J15" s="9">
        <v>465.5</v>
      </c>
      <c r="K15" s="12">
        <v>23.8</v>
      </c>
      <c r="L15" s="2" t="s">
        <v>19</v>
      </c>
      <c r="M15" s="3" t="s">
        <v>22</v>
      </c>
      <c r="N15" s="11">
        <v>7.4749999999999997E-2</v>
      </c>
      <c r="O15" s="11">
        <v>1.2500000000000001E-2</v>
      </c>
      <c r="P15" s="16">
        <v>52.816666666666663</v>
      </c>
      <c r="Q15" s="3">
        <v>0</v>
      </c>
      <c r="R15" s="17">
        <v>2.3615384615384611</v>
      </c>
      <c r="S15" s="17">
        <v>8</v>
      </c>
      <c r="T15" s="17">
        <v>0.7</v>
      </c>
      <c r="U15" s="2" t="s">
        <v>21</v>
      </c>
    </row>
    <row r="16" spans="2:21">
      <c r="B16" s="5">
        <v>45759</v>
      </c>
      <c r="C16" s="11">
        <v>6.5000000000000002E-2</v>
      </c>
      <c r="D16" s="11">
        <v>1.3</v>
      </c>
      <c r="E16" s="3" t="s">
        <v>18</v>
      </c>
      <c r="F16" s="8">
        <v>4.5599999999999996</v>
      </c>
      <c r="G16" s="21">
        <v>0.2</v>
      </c>
      <c r="H16" s="8">
        <v>53.22</v>
      </c>
      <c r="I16" s="9">
        <v>2.2799999999999998</v>
      </c>
      <c r="J16" s="9">
        <v>464</v>
      </c>
      <c r="K16" s="12">
        <v>24.9</v>
      </c>
      <c r="L16" s="2" t="s">
        <v>19</v>
      </c>
      <c r="M16" s="3" t="s">
        <v>20</v>
      </c>
      <c r="N16" s="11">
        <v>7.0400000000000004E-2</v>
      </c>
      <c r="O16" s="11">
        <v>1.0999999999999999E-2</v>
      </c>
      <c r="P16" s="16">
        <v>53.02</v>
      </c>
      <c r="Q16" s="3">
        <v>0</v>
      </c>
      <c r="R16" s="17">
        <v>2.4200000000000004</v>
      </c>
      <c r="S16" s="17">
        <v>8</v>
      </c>
      <c r="T16" s="17">
        <v>0.8</v>
      </c>
      <c r="U16" s="2" t="s">
        <v>21</v>
      </c>
    </row>
    <row r="17" spans="2:21">
      <c r="B17" s="5">
        <v>45760</v>
      </c>
      <c r="C17" s="57" t="s">
        <v>52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9"/>
    </row>
    <row r="18" spans="2:21">
      <c r="B18" s="5">
        <v>45761</v>
      </c>
      <c r="C18" s="3">
        <v>6.5000000000000002E-2</v>
      </c>
      <c r="D18" s="11">
        <v>1.3666666670000001</v>
      </c>
      <c r="E18" s="3" t="s">
        <v>53</v>
      </c>
      <c r="F18" s="8">
        <v>4.7949999999999999</v>
      </c>
      <c r="G18" s="21">
        <v>0.22</v>
      </c>
      <c r="H18" s="8">
        <v>53.09</v>
      </c>
      <c r="I18" s="9">
        <v>2.1749999999999998</v>
      </c>
      <c r="J18" s="9">
        <v>440.5</v>
      </c>
      <c r="K18" s="12">
        <v>30.4</v>
      </c>
      <c r="L18" s="2" t="s">
        <v>19</v>
      </c>
      <c r="M18" s="3" t="s">
        <v>54</v>
      </c>
      <c r="N18" s="11">
        <v>6.709090909090909E-2</v>
      </c>
      <c r="O18" s="11">
        <v>1.15E-2</v>
      </c>
      <c r="P18" s="16">
        <v>52.919999999999995</v>
      </c>
      <c r="Q18" s="3">
        <v>0</v>
      </c>
      <c r="R18" s="17">
        <v>2.316666666666666</v>
      </c>
      <c r="S18" s="17">
        <v>8</v>
      </c>
      <c r="T18" s="17">
        <v>0.6</v>
      </c>
      <c r="U18" s="2" t="s">
        <v>21</v>
      </c>
    </row>
    <row r="19" spans="2:21">
      <c r="B19" s="5">
        <v>45762</v>
      </c>
      <c r="C19" s="11">
        <v>6.5000000000000002E-2</v>
      </c>
      <c r="D19" s="11">
        <v>1.4666666669999999</v>
      </c>
      <c r="E19" s="3" t="s">
        <v>18</v>
      </c>
      <c r="F19" s="8">
        <v>4.9249999999999998</v>
      </c>
      <c r="G19" s="21">
        <v>0.22</v>
      </c>
      <c r="H19" s="8">
        <v>52.870000000000005</v>
      </c>
      <c r="I19" s="9">
        <v>2.2549999999999999</v>
      </c>
      <c r="J19" s="9">
        <v>468</v>
      </c>
      <c r="K19" s="12">
        <v>33.799999999999997</v>
      </c>
      <c r="L19" s="2" t="s">
        <v>19</v>
      </c>
      <c r="M19" s="3" t="s">
        <v>55</v>
      </c>
      <c r="N19" s="11">
        <v>7.0166666666666655E-2</v>
      </c>
      <c r="O19" s="11">
        <v>1.2E-2</v>
      </c>
      <c r="P19" s="16">
        <v>52.9</v>
      </c>
      <c r="Q19" s="3">
        <v>0</v>
      </c>
      <c r="R19" s="17">
        <v>2.3833333333333333</v>
      </c>
      <c r="S19" s="17">
        <v>8</v>
      </c>
      <c r="T19" s="17">
        <v>1.2</v>
      </c>
      <c r="U19" s="2" t="s">
        <v>21</v>
      </c>
    </row>
    <row r="20" spans="2:21">
      <c r="B20" s="5">
        <v>45763</v>
      </c>
      <c r="C20" s="3">
        <v>6.5000000000000002E-2</v>
      </c>
      <c r="D20" s="11">
        <v>1.3666666670000001</v>
      </c>
      <c r="E20" s="3" t="s">
        <v>18</v>
      </c>
      <c r="F20" s="8">
        <v>5.0350000000000001</v>
      </c>
      <c r="G20" s="21">
        <v>0.21000000000000002</v>
      </c>
      <c r="H20" s="8">
        <v>53.105000000000004</v>
      </c>
      <c r="I20" s="9">
        <v>2.2850000000000001</v>
      </c>
      <c r="J20" s="9">
        <v>474.5</v>
      </c>
      <c r="K20" s="12">
        <v>32.6</v>
      </c>
      <c r="L20" s="2" t="s">
        <v>19</v>
      </c>
      <c r="M20" s="3" t="s">
        <v>22</v>
      </c>
      <c r="N20" s="11">
        <v>7.1615384615384609E-2</v>
      </c>
      <c r="O20" s="11">
        <v>1.2500000000000001E-2</v>
      </c>
      <c r="P20" s="16">
        <v>52.94</v>
      </c>
      <c r="Q20" s="3">
        <v>0</v>
      </c>
      <c r="R20" s="17">
        <v>2.2846153846153845</v>
      </c>
      <c r="S20" s="17">
        <v>8</v>
      </c>
      <c r="T20" s="17">
        <v>0.4</v>
      </c>
      <c r="U20" s="2" t="s">
        <v>21</v>
      </c>
    </row>
    <row r="21" spans="2:21">
      <c r="B21" s="5">
        <v>45764</v>
      </c>
      <c r="C21" s="11">
        <v>6.5000000000000002E-2</v>
      </c>
      <c r="D21" s="11">
        <v>1.4875</v>
      </c>
      <c r="E21" s="3" t="s">
        <v>18</v>
      </c>
      <c r="F21" s="8">
        <v>5.0150000000000006</v>
      </c>
      <c r="G21" s="21">
        <v>0.21</v>
      </c>
      <c r="H21" s="8">
        <v>53.019999999999996</v>
      </c>
      <c r="I21" s="9">
        <v>2.27</v>
      </c>
      <c r="J21" s="9">
        <v>479.5</v>
      </c>
      <c r="K21" s="12">
        <v>27.5</v>
      </c>
      <c r="L21" s="2" t="s">
        <v>19</v>
      </c>
      <c r="M21" s="3" t="s">
        <v>22</v>
      </c>
      <c r="N21" s="11">
        <v>6.8083333333333329E-2</v>
      </c>
      <c r="O21" s="11">
        <v>1.0499999999999999E-2</v>
      </c>
      <c r="P21" s="16">
        <v>52.674999999999997</v>
      </c>
      <c r="Q21" s="3">
        <v>0</v>
      </c>
      <c r="R21" s="17">
        <v>2.3000000000000003</v>
      </c>
      <c r="S21" s="17">
        <v>8</v>
      </c>
      <c r="T21" s="17">
        <v>0.6</v>
      </c>
      <c r="U21" s="2" t="s">
        <v>21</v>
      </c>
    </row>
    <row r="22" spans="2:21">
      <c r="B22" s="5">
        <v>45765</v>
      </c>
      <c r="C22" s="11">
        <v>6.5000000000000002E-2</v>
      </c>
      <c r="D22" s="11">
        <v>1.5</v>
      </c>
      <c r="E22" s="3" t="s">
        <v>18</v>
      </c>
      <c r="F22" s="8">
        <v>5.0500000000000007</v>
      </c>
      <c r="G22" s="21">
        <v>0.22</v>
      </c>
      <c r="H22" s="8">
        <v>52.914999999999999</v>
      </c>
      <c r="I22" s="8">
        <v>2.4000000000000004</v>
      </c>
      <c r="J22" s="9">
        <v>500</v>
      </c>
      <c r="K22" s="12">
        <v>26.7</v>
      </c>
      <c r="L22" s="2" t="s">
        <v>19</v>
      </c>
      <c r="M22" s="3" t="s">
        <v>22</v>
      </c>
      <c r="N22" s="11">
        <v>6.8230769230769234E-2</v>
      </c>
      <c r="O22" s="11">
        <v>1.0999999999999999E-2</v>
      </c>
      <c r="P22" s="16">
        <v>52.773333333333333</v>
      </c>
      <c r="Q22" s="3">
        <v>0</v>
      </c>
      <c r="R22" s="17">
        <v>2.2000000000000002</v>
      </c>
      <c r="S22" s="17">
        <v>8</v>
      </c>
      <c r="T22" s="17">
        <v>0.4</v>
      </c>
      <c r="U22" s="2" t="s">
        <v>21</v>
      </c>
    </row>
    <row r="23" spans="2:21">
      <c r="B23" s="5">
        <v>45766</v>
      </c>
      <c r="C23" s="11">
        <v>6.5000000000000002E-2</v>
      </c>
      <c r="D23" s="11">
        <v>1.4</v>
      </c>
      <c r="E23" s="3" t="s">
        <v>18</v>
      </c>
      <c r="F23" s="8">
        <v>4.6850000000000005</v>
      </c>
      <c r="G23" s="21">
        <v>0.23</v>
      </c>
      <c r="H23" s="8">
        <v>52.644999999999996</v>
      </c>
      <c r="I23" s="9">
        <v>2.33</v>
      </c>
      <c r="J23" s="9">
        <v>490</v>
      </c>
      <c r="K23" s="12">
        <v>27.4</v>
      </c>
      <c r="L23" s="2" t="s">
        <v>19</v>
      </c>
      <c r="M23" s="3" t="s">
        <v>20</v>
      </c>
      <c r="N23" s="11">
        <v>6.5500000000000003E-2</v>
      </c>
      <c r="O23" s="11">
        <v>1.3000000000000001E-2</v>
      </c>
      <c r="P23" s="16">
        <v>52.709999999999994</v>
      </c>
      <c r="Q23" s="3">
        <v>0</v>
      </c>
      <c r="R23" s="17">
        <v>2.166666666666667</v>
      </c>
      <c r="S23" s="17">
        <v>8</v>
      </c>
      <c r="T23" s="17">
        <v>0.6</v>
      </c>
      <c r="U23" s="2" t="s">
        <v>21</v>
      </c>
    </row>
    <row r="24" spans="2:21">
      <c r="B24" s="5">
        <v>45767</v>
      </c>
      <c r="C24" s="11">
        <v>6.5000000000000002E-2</v>
      </c>
      <c r="D24" s="11">
        <v>1.44</v>
      </c>
      <c r="E24" s="3" t="s">
        <v>18</v>
      </c>
      <c r="F24" s="8">
        <v>4.87</v>
      </c>
      <c r="G24" s="21">
        <v>0.23</v>
      </c>
      <c r="H24" s="8">
        <v>52.55</v>
      </c>
      <c r="I24" s="9">
        <v>2.2949999999999999</v>
      </c>
      <c r="J24" s="9">
        <v>478</v>
      </c>
      <c r="K24" s="12">
        <v>34.200000000000003</v>
      </c>
      <c r="L24" s="2" t="s">
        <v>19</v>
      </c>
      <c r="M24" s="3" t="s">
        <v>20</v>
      </c>
      <c r="N24" s="11">
        <v>7.1333333333333332E-2</v>
      </c>
      <c r="O24" s="11">
        <v>1.2E-2</v>
      </c>
      <c r="P24" s="16">
        <v>52.61</v>
      </c>
      <c r="Q24" s="3">
        <v>0</v>
      </c>
      <c r="R24" s="17">
        <v>2.2083333333333335</v>
      </c>
      <c r="S24" s="17">
        <v>8</v>
      </c>
      <c r="T24" s="17">
        <v>0.2</v>
      </c>
      <c r="U24" s="2" t="s">
        <v>21</v>
      </c>
    </row>
    <row r="25" spans="2:21">
      <c r="B25" s="5">
        <v>45768</v>
      </c>
      <c r="C25" s="3">
        <v>6.5000000000000002E-2</v>
      </c>
      <c r="D25" s="11">
        <v>1.5</v>
      </c>
      <c r="E25" s="3" t="s">
        <v>18</v>
      </c>
      <c r="F25" s="8">
        <v>5.18</v>
      </c>
      <c r="G25" s="21">
        <v>0.22500000000000001</v>
      </c>
      <c r="H25" s="8">
        <v>52.695</v>
      </c>
      <c r="I25" s="9">
        <v>2.2999999999999998</v>
      </c>
      <c r="J25" s="9">
        <v>477</v>
      </c>
      <c r="K25" s="12">
        <v>32.1</v>
      </c>
      <c r="L25" s="2" t="s">
        <v>19</v>
      </c>
      <c r="M25" s="3" t="s">
        <v>20</v>
      </c>
      <c r="N25" s="11">
        <v>7.3416666666666644E-2</v>
      </c>
      <c r="O25" s="11">
        <v>1.2E-2</v>
      </c>
      <c r="P25" s="16">
        <v>52.644999999999996</v>
      </c>
      <c r="Q25" s="3">
        <v>0</v>
      </c>
      <c r="R25" s="17">
        <v>2.3166666666666669</v>
      </c>
      <c r="S25" s="17">
        <v>8</v>
      </c>
      <c r="T25" s="17">
        <v>0.4</v>
      </c>
      <c r="U25" s="2" t="s">
        <v>21</v>
      </c>
    </row>
    <row r="26" spans="2:21">
      <c r="B26" s="5">
        <v>45769</v>
      </c>
      <c r="C26" s="3">
        <v>6.5000000000000002E-2</v>
      </c>
      <c r="D26" s="11">
        <v>1.57</v>
      </c>
      <c r="E26" s="3" t="s">
        <v>18</v>
      </c>
      <c r="F26" s="8">
        <v>5.04</v>
      </c>
      <c r="G26" s="21">
        <v>0.22</v>
      </c>
      <c r="H26" s="8">
        <v>52.834999999999994</v>
      </c>
      <c r="I26" s="9">
        <v>2.2850000000000001</v>
      </c>
      <c r="J26" s="9">
        <v>468</v>
      </c>
      <c r="K26" s="12">
        <v>25.8</v>
      </c>
      <c r="L26" s="2" t="s">
        <v>19</v>
      </c>
      <c r="M26" s="3" t="s">
        <v>20</v>
      </c>
      <c r="N26" s="11">
        <v>7.2083333333333319E-2</v>
      </c>
      <c r="O26" s="11">
        <v>1.2E-2</v>
      </c>
      <c r="P26" s="16">
        <v>52.79</v>
      </c>
      <c r="Q26" s="3">
        <v>0</v>
      </c>
      <c r="R26" s="17">
        <v>2.2583333333333302</v>
      </c>
      <c r="S26" s="17">
        <v>8</v>
      </c>
      <c r="T26" s="17">
        <v>0.4</v>
      </c>
      <c r="U26" s="2" t="s">
        <v>21</v>
      </c>
    </row>
    <row r="27" spans="2:21">
      <c r="B27" s="5">
        <v>45770</v>
      </c>
      <c r="C27" s="3">
        <v>6.5000000000000002E-2</v>
      </c>
      <c r="D27" s="11">
        <v>1.7</v>
      </c>
      <c r="E27" s="3" t="s">
        <v>18</v>
      </c>
      <c r="F27" s="8">
        <v>4.8599999999999994</v>
      </c>
      <c r="G27" s="21">
        <v>0.22</v>
      </c>
      <c r="H27" s="8">
        <v>52.905000000000001</v>
      </c>
      <c r="I27" s="9">
        <v>2.2850000000000001</v>
      </c>
      <c r="J27" s="9">
        <v>468.5</v>
      </c>
      <c r="K27" s="12">
        <v>25.9</v>
      </c>
      <c r="L27" s="2" t="s">
        <v>19</v>
      </c>
      <c r="M27" s="3" t="s">
        <v>22</v>
      </c>
      <c r="N27" s="11">
        <v>7.0999999999999994E-2</v>
      </c>
      <c r="O27" s="11">
        <v>1.0999999999999999E-2</v>
      </c>
      <c r="P27" s="16">
        <v>53.013333333333343</v>
      </c>
      <c r="Q27" s="3">
        <v>0</v>
      </c>
      <c r="R27" s="17">
        <v>2.208333333333333</v>
      </c>
      <c r="S27" s="17">
        <v>8</v>
      </c>
      <c r="T27" s="17">
        <v>0.4</v>
      </c>
      <c r="U27" s="2" t="s">
        <v>21</v>
      </c>
    </row>
    <row r="28" spans="2:21">
      <c r="B28" s="5">
        <v>45771</v>
      </c>
      <c r="C28" s="11">
        <v>6.5000000000000002E-2</v>
      </c>
      <c r="D28" s="11">
        <v>1.7</v>
      </c>
      <c r="E28" s="3" t="s">
        <v>18</v>
      </c>
      <c r="F28" s="8">
        <v>5.0949999999999998</v>
      </c>
      <c r="G28" s="21">
        <v>0.21500000000000002</v>
      </c>
      <c r="H28" s="8">
        <v>52.66</v>
      </c>
      <c r="I28" s="9">
        <v>2.1949999999999998</v>
      </c>
      <c r="J28" s="9">
        <v>470.5</v>
      </c>
      <c r="K28" s="12">
        <v>23.5</v>
      </c>
      <c r="L28" s="2" t="s">
        <v>19</v>
      </c>
      <c r="M28" s="3" t="s">
        <v>55</v>
      </c>
      <c r="N28" s="11">
        <v>7.2249999999999981E-2</v>
      </c>
      <c r="O28" s="11">
        <v>1.15E-2</v>
      </c>
      <c r="P28" s="16">
        <v>52.843333333333334</v>
      </c>
      <c r="Q28" s="3">
        <v>0</v>
      </c>
      <c r="R28" s="17">
        <v>2.2166666666666663</v>
      </c>
      <c r="S28" s="17">
        <v>8</v>
      </c>
      <c r="T28" s="17">
        <v>0.3</v>
      </c>
      <c r="U28" s="2" t="s">
        <v>21</v>
      </c>
    </row>
    <row r="29" spans="2:21">
      <c r="B29" s="5">
        <v>45772</v>
      </c>
      <c r="C29" s="11">
        <v>0.06</v>
      </c>
      <c r="D29" s="11">
        <v>1.7</v>
      </c>
      <c r="E29" s="3" t="s">
        <v>18</v>
      </c>
      <c r="F29" s="8">
        <v>4.8550000000000004</v>
      </c>
      <c r="G29" s="21">
        <v>0.22500000000000001</v>
      </c>
      <c r="H29" s="8">
        <v>52.72</v>
      </c>
      <c r="I29" s="9">
        <v>2.2400000000000002</v>
      </c>
      <c r="J29" s="9">
        <v>471.5</v>
      </c>
      <c r="K29" s="12">
        <v>24.8</v>
      </c>
      <c r="L29" s="2" t="s">
        <v>19</v>
      </c>
      <c r="M29" s="3" t="s">
        <v>48</v>
      </c>
      <c r="N29" s="11">
        <v>7.166666666666667E-2</v>
      </c>
      <c r="O29" s="11">
        <v>1.2E-2</v>
      </c>
      <c r="P29" s="16">
        <v>52.743333333333339</v>
      </c>
      <c r="Q29" s="3">
        <v>0</v>
      </c>
      <c r="R29" s="17">
        <v>2.25</v>
      </c>
      <c r="S29" s="17">
        <v>8</v>
      </c>
      <c r="T29" s="17">
        <v>0.3</v>
      </c>
      <c r="U29" s="2" t="s">
        <v>21</v>
      </c>
    </row>
    <row r="30" spans="2:21">
      <c r="B30" s="5">
        <v>45773</v>
      </c>
      <c r="C30" s="11">
        <v>0.06</v>
      </c>
      <c r="D30" s="11">
        <v>1.7</v>
      </c>
      <c r="E30" s="3" t="s">
        <v>18</v>
      </c>
      <c r="F30" s="8">
        <v>4.7449999999999992</v>
      </c>
      <c r="G30" s="21">
        <v>0.22500000000000001</v>
      </c>
      <c r="H30" s="8">
        <v>52.585000000000001</v>
      </c>
      <c r="I30" s="9">
        <v>2.2400000000000002</v>
      </c>
      <c r="J30" s="9">
        <v>466</v>
      </c>
      <c r="K30" s="12">
        <v>26.3</v>
      </c>
      <c r="L30" s="2" t="s">
        <v>19</v>
      </c>
      <c r="M30" s="3" t="s">
        <v>20</v>
      </c>
      <c r="N30" s="11">
        <v>6.7749999999999991E-2</v>
      </c>
      <c r="O30" s="11">
        <v>1.2E-2</v>
      </c>
      <c r="P30" s="16">
        <v>52.64</v>
      </c>
      <c r="Q30" s="3">
        <v>0</v>
      </c>
      <c r="R30" s="17">
        <v>2.1083333333333329</v>
      </c>
      <c r="S30" s="17">
        <v>8</v>
      </c>
      <c r="T30" s="17">
        <v>0.6</v>
      </c>
      <c r="U30" s="2" t="s">
        <v>21</v>
      </c>
    </row>
    <row r="31" spans="2:21">
      <c r="B31" s="5">
        <v>45774</v>
      </c>
      <c r="C31" s="11">
        <v>0.06</v>
      </c>
      <c r="D31" s="11">
        <v>1.7</v>
      </c>
      <c r="E31" s="3" t="s">
        <v>18</v>
      </c>
      <c r="F31" s="8">
        <v>4.9749999999999996</v>
      </c>
      <c r="G31" s="21">
        <v>0.21500000000000002</v>
      </c>
      <c r="H31" s="9">
        <v>52.760000000000005</v>
      </c>
      <c r="I31" s="9">
        <v>2.25</v>
      </c>
      <c r="J31" s="9">
        <v>454.5</v>
      </c>
      <c r="K31" s="12">
        <v>26.9</v>
      </c>
      <c r="L31" s="2" t="s">
        <v>19</v>
      </c>
      <c r="M31" s="3" t="s">
        <v>20</v>
      </c>
      <c r="N31" s="11">
        <v>7.1416666666666642E-2</v>
      </c>
      <c r="O31" s="11">
        <v>1.2E-2</v>
      </c>
      <c r="P31" s="16">
        <v>52.674999999999997</v>
      </c>
      <c r="Q31" s="3">
        <v>0</v>
      </c>
      <c r="R31" s="17">
        <v>2.166666666666667</v>
      </c>
      <c r="S31" s="17">
        <v>8</v>
      </c>
      <c r="T31" s="17">
        <v>0.9</v>
      </c>
      <c r="U31" s="2" t="s">
        <v>21</v>
      </c>
    </row>
    <row r="32" spans="2:21">
      <c r="B32" s="5">
        <v>45775</v>
      </c>
      <c r="C32" s="11">
        <v>0.06</v>
      </c>
      <c r="D32" s="11">
        <v>1.65</v>
      </c>
      <c r="E32" s="3" t="s">
        <v>18</v>
      </c>
      <c r="F32" s="8">
        <v>4.875</v>
      </c>
      <c r="G32" s="21">
        <v>0.215</v>
      </c>
      <c r="H32" s="8">
        <v>52.534999999999997</v>
      </c>
      <c r="I32" s="9">
        <v>2.1399999999999997</v>
      </c>
      <c r="J32" s="9">
        <v>458</v>
      </c>
      <c r="K32" s="12">
        <v>29</v>
      </c>
      <c r="L32" s="2" t="s">
        <v>19</v>
      </c>
      <c r="M32" s="3" t="s">
        <v>20</v>
      </c>
      <c r="N32" s="11">
        <v>7.4642857142857136E-2</v>
      </c>
      <c r="O32" s="11">
        <v>1.2E-2</v>
      </c>
      <c r="P32" s="16">
        <v>52.540000000000006</v>
      </c>
      <c r="Q32" s="3">
        <v>0</v>
      </c>
      <c r="R32" s="17">
        <v>2.221428571428572</v>
      </c>
      <c r="S32" s="17">
        <v>8</v>
      </c>
      <c r="T32" s="17">
        <v>0.4</v>
      </c>
      <c r="U32" s="2" t="s">
        <v>21</v>
      </c>
    </row>
    <row r="33" spans="2:21">
      <c r="B33" s="5">
        <v>45776</v>
      </c>
      <c r="C33" s="11">
        <v>6.7000000000000004E-2</v>
      </c>
      <c r="D33" s="11">
        <v>1.43</v>
      </c>
      <c r="E33" s="3" t="s">
        <v>18</v>
      </c>
      <c r="F33" s="8">
        <v>4.2450000000000001</v>
      </c>
      <c r="G33" s="21">
        <v>0.21</v>
      </c>
      <c r="H33" s="8">
        <v>52.385000000000005</v>
      </c>
      <c r="I33" s="9">
        <v>1.9450000000000001</v>
      </c>
      <c r="J33" s="9">
        <v>392.5</v>
      </c>
      <c r="K33" s="12">
        <v>22.5</v>
      </c>
      <c r="L33" s="2" t="s">
        <v>19</v>
      </c>
      <c r="M33" s="3" t="s">
        <v>20</v>
      </c>
      <c r="N33" s="11">
        <v>8.0545454545454531E-2</v>
      </c>
      <c r="O33" s="11">
        <v>1.15E-2</v>
      </c>
      <c r="P33" s="16">
        <v>52.344999999999999</v>
      </c>
      <c r="Q33" s="3">
        <v>0</v>
      </c>
      <c r="R33" s="17">
        <v>2.1181818181818186</v>
      </c>
      <c r="S33" s="17">
        <v>8</v>
      </c>
      <c r="T33" s="17">
        <v>1.5</v>
      </c>
      <c r="U33" s="2" t="s">
        <v>21</v>
      </c>
    </row>
    <row r="34" spans="2:21">
      <c r="B34" s="5">
        <v>45777</v>
      </c>
      <c r="C34" s="41"/>
      <c r="D34" s="41"/>
      <c r="E34" s="3" t="s">
        <v>18</v>
      </c>
      <c r="F34" s="8">
        <v>4.1150000000000002</v>
      </c>
      <c r="G34" s="21">
        <v>0.20500000000000002</v>
      </c>
      <c r="H34" s="8">
        <v>52.335000000000001</v>
      </c>
      <c r="I34" s="9">
        <v>1.9</v>
      </c>
      <c r="J34" s="9">
        <v>399.5</v>
      </c>
      <c r="K34" s="12">
        <v>21.7</v>
      </c>
      <c r="L34" s="2" t="s">
        <v>19</v>
      </c>
      <c r="M34" s="3" t="s">
        <v>56</v>
      </c>
      <c r="N34" s="11">
        <v>6.8416666666666667E-2</v>
      </c>
      <c r="O34" s="11">
        <v>1.0999999999999999E-2</v>
      </c>
      <c r="P34" s="16">
        <v>52.602499999999999</v>
      </c>
      <c r="Q34" s="3">
        <v>0</v>
      </c>
      <c r="R34" s="17">
        <v>2.0833333333333335</v>
      </c>
      <c r="S34" s="17">
        <v>8</v>
      </c>
      <c r="T34" s="17">
        <v>0.3</v>
      </c>
      <c r="U34" s="2" t="s">
        <v>21</v>
      </c>
    </row>
    <row r="35" spans="2:21">
      <c r="F35" s="10"/>
      <c r="G35" s="10"/>
      <c r="H35" s="10"/>
      <c r="I35" s="10"/>
      <c r="J35" s="10"/>
      <c r="K35" s="10"/>
      <c r="N35" s="37"/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7">
    <mergeCell ref="M3:U3"/>
    <mergeCell ref="B37:D37"/>
    <mergeCell ref="B3:B4"/>
    <mergeCell ref="C3:C4"/>
    <mergeCell ref="D3:D4"/>
    <mergeCell ref="E3:L3"/>
    <mergeCell ref="C17:U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55B0-F3A8-4272-8D77-9515C05BBD70}">
  <sheetPr codeName="Sheet5"/>
  <dimension ref="B3:U41"/>
  <sheetViews>
    <sheetView topLeftCell="E21" workbookViewId="0">
      <selection activeCell="D35" sqref="D35"/>
    </sheetView>
  </sheetViews>
  <sheetFormatPr defaultRowHeight="15"/>
  <cols>
    <col min="2" max="4" width="15.7109375" style="4" customWidth="1"/>
    <col min="5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45778</v>
      </c>
      <c r="C5" s="3">
        <v>6.5000000000000002E-2</v>
      </c>
      <c r="D5" s="11">
        <v>1.3227272729999999</v>
      </c>
      <c r="E5" s="3" t="s">
        <v>18</v>
      </c>
      <c r="F5" s="8">
        <v>4.1099999999999994</v>
      </c>
      <c r="G5" s="21">
        <v>0.21</v>
      </c>
      <c r="H5" s="8">
        <v>52.47</v>
      </c>
      <c r="I5" s="8">
        <v>1.9950000000000001</v>
      </c>
      <c r="J5" s="8">
        <v>420.5</v>
      </c>
      <c r="K5" s="12">
        <v>24.6</v>
      </c>
      <c r="L5" s="2" t="s">
        <v>19</v>
      </c>
      <c r="M5" s="3" t="s">
        <v>22</v>
      </c>
      <c r="N5" s="20">
        <v>6.9909090909090907E-2</v>
      </c>
      <c r="O5" s="20">
        <v>1.2E-2</v>
      </c>
      <c r="P5" s="13">
        <v>52.426666666666669</v>
      </c>
      <c r="Q5" s="14">
        <v>0</v>
      </c>
      <c r="R5" s="15">
        <v>2.1181818181818182</v>
      </c>
      <c r="S5" s="17">
        <v>8</v>
      </c>
      <c r="T5" s="17">
        <v>0.5</v>
      </c>
      <c r="U5" s="2" t="s">
        <v>21</v>
      </c>
    </row>
    <row r="6" spans="2:21">
      <c r="B6" s="5">
        <v>45779</v>
      </c>
      <c r="C6" s="3">
        <v>6.5000000000000002E-2</v>
      </c>
      <c r="D6" s="11">
        <v>1.5</v>
      </c>
      <c r="E6" s="3" t="s">
        <v>18</v>
      </c>
      <c r="F6" s="8">
        <v>4.3499999999999996</v>
      </c>
      <c r="G6" s="21">
        <v>0.22500000000000001</v>
      </c>
      <c r="H6" s="8">
        <v>52.594999999999999</v>
      </c>
      <c r="I6" s="9">
        <v>2.11</v>
      </c>
      <c r="J6" s="9">
        <v>446.5</v>
      </c>
      <c r="K6" s="12">
        <v>27.5</v>
      </c>
      <c r="L6" s="2" t="s">
        <v>19</v>
      </c>
      <c r="M6" s="3" t="s">
        <v>55</v>
      </c>
      <c r="N6" s="11">
        <v>7.2384615384615367E-2</v>
      </c>
      <c r="O6" s="11">
        <v>1.3000000000000001E-2</v>
      </c>
      <c r="P6" s="16">
        <v>52.706666666666671</v>
      </c>
      <c r="Q6" s="3">
        <v>0</v>
      </c>
      <c r="R6" s="17">
        <v>2.2666666666666671</v>
      </c>
      <c r="S6" s="17">
        <v>8</v>
      </c>
      <c r="T6" s="17">
        <v>0.8</v>
      </c>
      <c r="U6" s="2" t="s">
        <v>21</v>
      </c>
    </row>
    <row r="7" spans="2:21">
      <c r="B7" s="5">
        <v>45780</v>
      </c>
      <c r="C7" s="11">
        <v>6.5000000000000002E-2</v>
      </c>
      <c r="D7" s="11">
        <v>1.5</v>
      </c>
      <c r="E7" s="3" t="s">
        <v>18</v>
      </c>
      <c r="F7" s="8">
        <v>4.6999999999999993</v>
      </c>
      <c r="G7" s="21">
        <v>0.21500000000000002</v>
      </c>
      <c r="H7" s="8">
        <v>52.474999999999994</v>
      </c>
      <c r="I7" s="9">
        <v>2.2549999999999999</v>
      </c>
      <c r="J7" s="9">
        <v>480</v>
      </c>
      <c r="K7" s="12">
        <v>28</v>
      </c>
      <c r="L7" s="2" t="s">
        <v>19</v>
      </c>
      <c r="M7" s="3" t="s">
        <v>22</v>
      </c>
      <c r="N7" s="11">
        <v>7.3999999999999982E-2</v>
      </c>
      <c r="O7" s="11">
        <v>1.2E-2</v>
      </c>
      <c r="P7" s="16">
        <v>52.567499999999995</v>
      </c>
      <c r="Q7" s="3">
        <v>0</v>
      </c>
      <c r="R7" s="17">
        <v>2.2250000000000001</v>
      </c>
      <c r="S7" s="17">
        <v>8</v>
      </c>
      <c r="T7" s="17">
        <v>0.9</v>
      </c>
      <c r="U7" s="2" t="s">
        <v>21</v>
      </c>
    </row>
    <row r="8" spans="2:21">
      <c r="B8" s="5">
        <v>45781</v>
      </c>
      <c r="C8" s="11">
        <v>6.5000000000000002E-2</v>
      </c>
      <c r="D8" s="11">
        <v>1.5</v>
      </c>
      <c r="E8" s="3" t="s">
        <v>18</v>
      </c>
      <c r="F8" s="8">
        <v>4.66</v>
      </c>
      <c r="G8" s="21">
        <v>0.22</v>
      </c>
      <c r="H8" s="8">
        <v>52.61</v>
      </c>
      <c r="I8" s="9">
        <v>2.2199999999999998</v>
      </c>
      <c r="J8" s="9">
        <v>465.5</v>
      </c>
      <c r="K8" s="12">
        <v>31.7</v>
      </c>
      <c r="L8" s="2" t="s">
        <v>19</v>
      </c>
      <c r="M8" s="3" t="s">
        <v>22</v>
      </c>
      <c r="N8" s="11">
        <v>7.5999999999999984E-2</v>
      </c>
      <c r="O8" s="11">
        <v>1.2E-2</v>
      </c>
      <c r="P8" s="16">
        <v>52.919999999999995</v>
      </c>
      <c r="Q8" s="3">
        <v>0</v>
      </c>
      <c r="R8" s="17">
        <v>2.2416666666666667</v>
      </c>
      <c r="S8" s="17">
        <v>8</v>
      </c>
      <c r="T8" s="17">
        <v>0.5</v>
      </c>
      <c r="U8" s="2" t="s">
        <v>21</v>
      </c>
    </row>
    <row r="9" spans="2:21">
      <c r="B9" s="5">
        <v>45782</v>
      </c>
      <c r="C9" s="11">
        <v>6.5000000000000002E-2</v>
      </c>
      <c r="D9" s="11">
        <v>1.5291666669999999</v>
      </c>
      <c r="E9" s="3" t="s">
        <v>18</v>
      </c>
      <c r="F9" s="8">
        <v>4.72</v>
      </c>
      <c r="G9" s="21">
        <v>0.22</v>
      </c>
      <c r="H9" s="8">
        <v>52.674999999999997</v>
      </c>
      <c r="I9" s="9">
        <v>2.335</v>
      </c>
      <c r="J9" s="9">
        <v>466.5</v>
      </c>
      <c r="K9" s="12">
        <v>25.4</v>
      </c>
      <c r="L9" s="2" t="s">
        <v>19</v>
      </c>
      <c r="M9" s="3" t="s">
        <v>22</v>
      </c>
      <c r="N9" s="11">
        <v>7.1083333333333318E-2</v>
      </c>
      <c r="O9" s="11">
        <v>1.2E-2</v>
      </c>
      <c r="P9" s="16">
        <v>52.9</v>
      </c>
      <c r="Q9" s="3">
        <v>0</v>
      </c>
      <c r="R9" s="17">
        <v>2.3333333333333335</v>
      </c>
      <c r="S9" s="17">
        <v>8</v>
      </c>
      <c r="T9" s="17">
        <v>0.5</v>
      </c>
      <c r="U9" s="2" t="s">
        <v>21</v>
      </c>
    </row>
    <row r="10" spans="2:21">
      <c r="B10" s="5">
        <v>45783</v>
      </c>
      <c r="C10" s="11">
        <v>6.5000000000000002E-2</v>
      </c>
      <c r="D10" s="11">
        <v>1.5454545449999999</v>
      </c>
      <c r="E10" s="3" t="s">
        <v>18</v>
      </c>
      <c r="F10" s="8">
        <v>4.3949999999999996</v>
      </c>
      <c r="G10" s="21">
        <v>0.20500000000000002</v>
      </c>
      <c r="H10" s="8">
        <v>52.65</v>
      </c>
      <c r="I10" s="9">
        <v>2.3250000000000002</v>
      </c>
      <c r="J10" s="9">
        <v>479</v>
      </c>
      <c r="K10" s="12">
        <v>27.8</v>
      </c>
      <c r="L10" s="2" t="s">
        <v>19</v>
      </c>
      <c r="M10" s="3" t="s">
        <v>31</v>
      </c>
      <c r="N10" s="11">
        <v>6.5999999999999989E-2</v>
      </c>
      <c r="O10" s="11">
        <v>1.0499999999999999E-2</v>
      </c>
      <c r="P10" s="16">
        <v>52.620000000000005</v>
      </c>
      <c r="Q10" s="3">
        <v>0</v>
      </c>
      <c r="R10" s="17">
        <v>2.1083333333333338</v>
      </c>
      <c r="S10" s="17">
        <v>8</v>
      </c>
      <c r="T10" s="17">
        <v>0.4</v>
      </c>
      <c r="U10" s="2" t="s">
        <v>21</v>
      </c>
    </row>
    <row r="11" spans="2:21">
      <c r="B11" s="5">
        <v>45784</v>
      </c>
      <c r="C11" s="11">
        <v>8.7916667000000004E-2</v>
      </c>
      <c r="D11" s="11">
        <v>1.108333333</v>
      </c>
      <c r="E11" s="3" t="s">
        <v>18</v>
      </c>
      <c r="F11" s="10">
        <v>4.2949999999999999</v>
      </c>
      <c r="G11" s="21">
        <v>0.23</v>
      </c>
      <c r="H11" s="8">
        <v>52.34</v>
      </c>
      <c r="I11" s="9">
        <v>2.34</v>
      </c>
      <c r="J11" s="9">
        <v>465.5</v>
      </c>
      <c r="K11" s="12">
        <v>27.2</v>
      </c>
      <c r="L11" s="2" t="s">
        <v>19</v>
      </c>
      <c r="M11" s="3" t="s">
        <v>20</v>
      </c>
      <c r="N11" s="11">
        <v>6.7076923076923062E-2</v>
      </c>
      <c r="O11" s="11">
        <v>1.2E-2</v>
      </c>
      <c r="P11" s="16">
        <v>52.545000000000002</v>
      </c>
      <c r="Q11" s="3">
        <v>0</v>
      </c>
      <c r="R11" s="17">
        <v>2.1615384615384619</v>
      </c>
      <c r="S11" s="17">
        <v>8</v>
      </c>
      <c r="T11" s="17">
        <v>0.2</v>
      </c>
      <c r="U11" s="2" t="s">
        <v>21</v>
      </c>
    </row>
    <row r="12" spans="2:21">
      <c r="B12" s="5">
        <v>45785</v>
      </c>
      <c r="C12" s="11">
        <v>0.09</v>
      </c>
      <c r="D12" s="11">
        <v>1.129166667</v>
      </c>
      <c r="E12" s="3" t="s">
        <v>18</v>
      </c>
      <c r="F12" s="8">
        <v>4.1749999999999998</v>
      </c>
      <c r="G12" s="21">
        <v>0.22</v>
      </c>
      <c r="H12" s="8">
        <v>52.47</v>
      </c>
      <c r="I12" s="9">
        <v>2.34</v>
      </c>
      <c r="J12" s="9">
        <v>475</v>
      </c>
      <c r="K12" s="12">
        <v>26.2</v>
      </c>
      <c r="L12" s="2" t="s">
        <v>19</v>
      </c>
      <c r="M12" s="3" t="s">
        <v>55</v>
      </c>
      <c r="N12" s="11">
        <v>6.5666666666666651E-2</v>
      </c>
      <c r="O12" s="11">
        <v>1.2E-2</v>
      </c>
      <c r="P12" s="16">
        <v>52.433333333333337</v>
      </c>
      <c r="Q12" s="3">
        <v>0</v>
      </c>
      <c r="R12" s="17">
        <v>2.1769230769230776</v>
      </c>
      <c r="S12" s="17">
        <v>8</v>
      </c>
      <c r="T12" s="17">
        <v>1.4</v>
      </c>
      <c r="U12" s="2" t="s">
        <v>21</v>
      </c>
    </row>
    <row r="13" spans="2:21">
      <c r="B13" s="5">
        <v>45786</v>
      </c>
      <c r="C13" s="11">
        <v>0.09</v>
      </c>
      <c r="D13" s="11">
        <v>1.0708333329999999</v>
      </c>
      <c r="E13" s="3" t="s">
        <v>18</v>
      </c>
      <c r="F13" s="8">
        <v>4.1749999999999998</v>
      </c>
      <c r="G13" s="21">
        <v>0.22</v>
      </c>
      <c r="H13" s="8">
        <v>52.655000000000001</v>
      </c>
      <c r="I13" s="9">
        <v>2.3650000000000002</v>
      </c>
      <c r="J13" s="9">
        <v>480</v>
      </c>
      <c r="K13" s="12">
        <v>30.4</v>
      </c>
      <c r="L13" s="2" t="s">
        <v>19</v>
      </c>
      <c r="M13" s="3" t="s">
        <v>22</v>
      </c>
      <c r="N13" s="11">
        <v>7.1166666666666656E-2</v>
      </c>
      <c r="O13" s="11">
        <v>1.2E-2</v>
      </c>
      <c r="P13" s="16">
        <v>52.583333333333336</v>
      </c>
      <c r="Q13" s="3">
        <v>0</v>
      </c>
      <c r="R13" s="17">
        <v>2.1166666666666667</v>
      </c>
      <c r="S13" s="17">
        <v>8</v>
      </c>
      <c r="T13" s="17">
        <v>2.1</v>
      </c>
      <c r="U13" s="2" t="s">
        <v>21</v>
      </c>
    </row>
    <row r="14" spans="2:21">
      <c r="B14" s="5">
        <v>45787</v>
      </c>
      <c r="C14" s="11">
        <v>0.09</v>
      </c>
      <c r="D14" s="11">
        <v>1.086363636</v>
      </c>
      <c r="E14" s="3" t="s">
        <v>18</v>
      </c>
      <c r="F14" s="8">
        <v>4.24</v>
      </c>
      <c r="G14" s="21">
        <v>0.21000000000000002</v>
      </c>
      <c r="H14" s="8">
        <v>52.734999999999999</v>
      </c>
      <c r="I14" s="9">
        <v>2.3049999999999997</v>
      </c>
      <c r="J14" s="9">
        <v>473</v>
      </c>
      <c r="K14" s="12">
        <v>28.7</v>
      </c>
      <c r="L14" s="2" t="s">
        <v>19</v>
      </c>
      <c r="M14" s="3" t="s">
        <v>20</v>
      </c>
      <c r="N14" s="11">
        <v>7.1454545454545451E-2</v>
      </c>
      <c r="O14" s="11">
        <v>1.2E-2</v>
      </c>
      <c r="P14" s="16">
        <v>52.895000000000003</v>
      </c>
      <c r="Q14" s="3">
        <v>0</v>
      </c>
      <c r="R14" s="17">
        <v>2.1727272727272728</v>
      </c>
      <c r="S14" s="17">
        <v>8</v>
      </c>
      <c r="T14" s="17">
        <v>1.7</v>
      </c>
      <c r="U14" s="2" t="s">
        <v>21</v>
      </c>
    </row>
    <row r="15" spans="2:21">
      <c r="B15" s="5">
        <v>45788</v>
      </c>
      <c r="C15" s="11">
        <v>0.09</v>
      </c>
      <c r="D15" s="11">
        <v>1.1000000000000001</v>
      </c>
      <c r="E15" s="3" t="s">
        <v>18</v>
      </c>
      <c r="F15" s="8">
        <v>4.4399999999999995</v>
      </c>
      <c r="G15" s="21">
        <v>0.22</v>
      </c>
      <c r="H15" s="8">
        <v>52.31</v>
      </c>
      <c r="I15" s="9">
        <v>2.2649999999999997</v>
      </c>
      <c r="J15" s="9">
        <v>462.5</v>
      </c>
      <c r="K15" s="12">
        <v>30</v>
      </c>
      <c r="L15" s="2" t="s">
        <v>19</v>
      </c>
      <c r="M15" s="3" t="s">
        <v>20</v>
      </c>
      <c r="N15" s="11">
        <v>7.0000000000000007E-2</v>
      </c>
      <c r="O15" s="11">
        <v>1.1333333333333334E-2</v>
      </c>
      <c r="P15" s="16">
        <v>52.06</v>
      </c>
      <c r="Q15" s="3">
        <v>0</v>
      </c>
      <c r="R15" s="17">
        <v>2.1777777777777776</v>
      </c>
      <c r="S15" s="17">
        <v>8</v>
      </c>
      <c r="T15" s="17">
        <v>1.9</v>
      </c>
      <c r="U15" s="2" t="s">
        <v>21</v>
      </c>
    </row>
    <row r="16" spans="2:21">
      <c r="B16" s="5">
        <v>45789</v>
      </c>
      <c r="C16" s="11">
        <v>0.09</v>
      </c>
      <c r="D16" s="11">
        <v>1.1000000000000001</v>
      </c>
      <c r="E16" s="3" t="s">
        <v>18</v>
      </c>
      <c r="F16" s="8">
        <v>4.33</v>
      </c>
      <c r="G16" s="21">
        <v>0.21000000000000002</v>
      </c>
      <c r="H16" s="8">
        <v>52.625</v>
      </c>
      <c r="I16" s="9">
        <v>2.2400000000000002</v>
      </c>
      <c r="J16" s="9">
        <v>459.5</v>
      </c>
      <c r="K16" s="12">
        <v>27.2</v>
      </c>
      <c r="L16" s="2" t="s">
        <v>19</v>
      </c>
      <c r="M16" s="3" t="s">
        <v>22</v>
      </c>
      <c r="N16" s="11">
        <v>7.1499999999999994E-2</v>
      </c>
      <c r="O16" s="11">
        <v>1.15E-2</v>
      </c>
      <c r="P16" s="16">
        <v>52.833333333333336</v>
      </c>
      <c r="Q16" s="3">
        <v>0</v>
      </c>
      <c r="R16" s="17">
        <v>2.1500000000000008</v>
      </c>
      <c r="S16" s="17">
        <v>8</v>
      </c>
      <c r="T16" s="17">
        <v>1.4</v>
      </c>
      <c r="U16" s="2" t="s">
        <v>21</v>
      </c>
    </row>
    <row r="17" spans="2:21">
      <c r="B17" s="5">
        <v>45790</v>
      </c>
      <c r="C17" s="11">
        <v>8.0833332999999993E-2</v>
      </c>
      <c r="D17" s="11">
        <v>0.85416666699999999</v>
      </c>
      <c r="E17" s="3" t="s">
        <v>18</v>
      </c>
      <c r="F17" s="8">
        <v>4.1050000000000004</v>
      </c>
      <c r="G17" s="21">
        <v>0.21</v>
      </c>
      <c r="H17" s="8">
        <v>52.414999999999999</v>
      </c>
      <c r="I17" s="9">
        <v>2.2949999999999999</v>
      </c>
      <c r="J17" s="9">
        <v>477</v>
      </c>
      <c r="K17" s="12">
        <v>29.7</v>
      </c>
      <c r="L17" s="2" t="s">
        <v>19</v>
      </c>
      <c r="M17" s="3" t="s">
        <v>20</v>
      </c>
      <c r="N17" s="11">
        <v>6.9666666666666655E-2</v>
      </c>
      <c r="O17" s="11">
        <v>1.2E-2</v>
      </c>
      <c r="P17" s="16">
        <v>52.484999999999999</v>
      </c>
      <c r="Q17" s="3">
        <v>0</v>
      </c>
      <c r="R17" s="17">
        <v>2.15</v>
      </c>
      <c r="S17" s="17">
        <v>8</v>
      </c>
      <c r="T17" s="17">
        <v>1.6</v>
      </c>
      <c r="U17" s="2" t="s">
        <v>21</v>
      </c>
    </row>
    <row r="18" spans="2:21">
      <c r="B18" s="5">
        <v>45791</v>
      </c>
      <c r="C18" s="11">
        <v>6.6875000000000004E-2</v>
      </c>
      <c r="D18" s="11">
        <v>0.72499999999999998</v>
      </c>
      <c r="E18" s="3" t="s">
        <v>18</v>
      </c>
      <c r="F18" s="8">
        <v>4.08</v>
      </c>
      <c r="G18" s="21">
        <v>0.22500000000000001</v>
      </c>
      <c r="H18" s="8">
        <v>52.534999999999997</v>
      </c>
      <c r="I18" s="9">
        <v>2.3049999999999997</v>
      </c>
      <c r="J18" s="9">
        <v>472.5</v>
      </c>
      <c r="K18" s="12">
        <v>31.3</v>
      </c>
      <c r="L18" s="2" t="s">
        <v>19</v>
      </c>
      <c r="M18" s="3" t="s">
        <v>22</v>
      </c>
      <c r="N18" s="11">
        <v>7.169230769230768E-2</v>
      </c>
      <c r="O18" s="11">
        <v>1.2500000000000001E-2</v>
      </c>
      <c r="P18" s="16">
        <v>52.636666666666663</v>
      </c>
      <c r="Q18" s="3">
        <v>0</v>
      </c>
      <c r="R18" s="17">
        <v>2.3384615384615381</v>
      </c>
      <c r="S18" s="17">
        <v>8</v>
      </c>
      <c r="T18" s="17">
        <v>2.2000000000000002</v>
      </c>
      <c r="U18" s="2" t="s">
        <v>21</v>
      </c>
    </row>
    <row r="19" spans="2:21">
      <c r="B19" s="5">
        <v>45792</v>
      </c>
      <c r="C19" s="11">
        <v>7.7499999999999999E-2</v>
      </c>
      <c r="D19" s="11">
        <v>0.7</v>
      </c>
      <c r="E19" s="3" t="s">
        <v>18</v>
      </c>
      <c r="F19" s="8">
        <v>4.3099999999999996</v>
      </c>
      <c r="G19" s="21">
        <v>0.21500000000000002</v>
      </c>
      <c r="H19" s="8">
        <v>52.655000000000001</v>
      </c>
      <c r="I19" s="9">
        <v>2.2599999999999998</v>
      </c>
      <c r="J19" s="9">
        <v>467.5</v>
      </c>
      <c r="K19" s="12">
        <v>25.4</v>
      </c>
      <c r="L19" s="2" t="s">
        <v>19</v>
      </c>
      <c r="M19" s="3" t="s">
        <v>22</v>
      </c>
      <c r="N19" s="11">
        <v>7.1249999999999994E-2</v>
      </c>
      <c r="O19" s="11">
        <v>1.0999999999999999E-2</v>
      </c>
      <c r="P19" s="16">
        <v>52.906666666666666</v>
      </c>
      <c r="Q19" s="3">
        <v>0</v>
      </c>
      <c r="R19" s="17">
        <v>2.2749999999999999</v>
      </c>
      <c r="S19" s="17">
        <v>8</v>
      </c>
      <c r="T19" s="17">
        <v>1.5</v>
      </c>
      <c r="U19" s="2" t="s">
        <v>21</v>
      </c>
    </row>
    <row r="20" spans="2:21">
      <c r="B20" s="5">
        <v>45793</v>
      </c>
      <c r="C20" s="11">
        <v>7.6842104999999994E-2</v>
      </c>
      <c r="D20" s="11">
        <v>0.811111111</v>
      </c>
      <c r="E20" s="3" t="s">
        <v>18</v>
      </c>
      <c r="F20" s="8">
        <v>4.38</v>
      </c>
      <c r="G20" s="21">
        <v>0.2</v>
      </c>
      <c r="H20" s="8">
        <v>52.695</v>
      </c>
      <c r="I20" s="9">
        <v>2.2999999999999998</v>
      </c>
      <c r="J20" s="9">
        <v>469</v>
      </c>
      <c r="K20" s="12">
        <v>26.6</v>
      </c>
      <c r="L20" s="2" t="s">
        <v>19</v>
      </c>
      <c r="M20" s="3" t="s">
        <v>55</v>
      </c>
      <c r="N20" s="11">
        <v>7.4799999999999991E-2</v>
      </c>
      <c r="O20" s="11">
        <v>1.0999999999999999E-2</v>
      </c>
      <c r="P20" s="16">
        <v>52.77</v>
      </c>
      <c r="Q20" s="3">
        <v>0</v>
      </c>
      <c r="R20" s="17">
        <v>2.41</v>
      </c>
      <c r="S20" s="17">
        <v>8</v>
      </c>
      <c r="T20" s="17">
        <v>2.6</v>
      </c>
      <c r="U20" s="2" t="s">
        <v>21</v>
      </c>
    </row>
    <row r="21" spans="2:21">
      <c r="B21" s="5">
        <v>45794</v>
      </c>
      <c r="C21" s="11">
        <v>0.08</v>
      </c>
      <c r="D21" s="11">
        <v>0.87</v>
      </c>
      <c r="E21" s="3" t="s">
        <v>18</v>
      </c>
      <c r="F21" s="8">
        <v>4.5199999999999996</v>
      </c>
      <c r="G21" s="21">
        <v>0.22</v>
      </c>
      <c r="H21" s="8">
        <v>52.48</v>
      </c>
      <c r="I21" s="9">
        <v>2.2999999999999998</v>
      </c>
      <c r="J21" s="9">
        <v>469</v>
      </c>
      <c r="K21" s="12">
        <v>25.2</v>
      </c>
      <c r="L21" s="2" t="s">
        <v>19</v>
      </c>
      <c r="M21" s="3" t="s">
        <v>20</v>
      </c>
      <c r="N21" s="11">
        <v>8.4250000000000005E-2</v>
      </c>
      <c r="O21" s="11">
        <v>1.0999999999999999E-2</v>
      </c>
      <c r="P21" s="16">
        <v>52.04</v>
      </c>
      <c r="Q21" s="3">
        <v>0</v>
      </c>
      <c r="R21" s="17">
        <v>2.2999999999999998</v>
      </c>
      <c r="S21" s="17">
        <v>8</v>
      </c>
      <c r="T21" s="17">
        <v>3.1</v>
      </c>
      <c r="U21" s="2" t="s">
        <v>21</v>
      </c>
    </row>
    <row r="22" spans="2:21">
      <c r="B22" s="5">
        <v>45795</v>
      </c>
      <c r="C22" s="11">
        <v>0.08</v>
      </c>
      <c r="D22" s="11">
        <v>1</v>
      </c>
      <c r="E22" s="3" t="s">
        <v>18</v>
      </c>
      <c r="F22" s="8">
        <v>3.71</v>
      </c>
      <c r="G22" s="21">
        <v>0.18</v>
      </c>
      <c r="H22" s="8">
        <v>52.52</v>
      </c>
      <c r="I22" s="8">
        <v>2.1800000000000002</v>
      </c>
      <c r="J22" s="9">
        <v>451</v>
      </c>
      <c r="K22" s="12">
        <v>38.799999999999997</v>
      </c>
      <c r="L22" s="2" t="s">
        <v>19</v>
      </c>
      <c r="M22" s="3" t="s">
        <v>57</v>
      </c>
      <c r="N22" s="11">
        <v>4.3999999999999997E-2</v>
      </c>
      <c r="O22" s="11">
        <v>1.1000000000000001E-3</v>
      </c>
      <c r="P22" s="16">
        <v>51.29</v>
      </c>
      <c r="Q22" s="3">
        <v>0</v>
      </c>
      <c r="R22" s="17">
        <v>2.9</v>
      </c>
      <c r="S22" s="17">
        <v>8</v>
      </c>
      <c r="T22" s="17">
        <v>0.6</v>
      </c>
      <c r="U22" s="2" t="s">
        <v>21</v>
      </c>
    </row>
    <row r="23" spans="2:21">
      <c r="B23" s="5">
        <v>45796</v>
      </c>
      <c r="C23" s="11">
        <v>7.0000000000000007E-2</v>
      </c>
      <c r="D23" s="11">
        <v>0.92083333300000003</v>
      </c>
      <c r="E23" s="3" t="s">
        <v>18</v>
      </c>
      <c r="F23" s="8">
        <v>3.9800000000000004</v>
      </c>
      <c r="G23" s="21">
        <v>0.21</v>
      </c>
      <c r="H23" s="8">
        <v>52.55</v>
      </c>
      <c r="I23" s="9">
        <v>2.2450000000000001</v>
      </c>
      <c r="J23" s="9">
        <v>458.5</v>
      </c>
      <c r="K23" s="12">
        <v>22.1</v>
      </c>
      <c r="L23" s="2" t="s">
        <v>19</v>
      </c>
      <c r="M23" s="3" t="s">
        <v>20</v>
      </c>
      <c r="N23" s="11">
        <v>6.7307692307692304E-2</v>
      </c>
      <c r="O23" s="11">
        <v>1.2500000000000001E-2</v>
      </c>
      <c r="P23" s="16">
        <v>52.379999999999995</v>
      </c>
      <c r="Q23" s="3">
        <v>0</v>
      </c>
      <c r="R23" s="17">
        <v>2.2923076923076926</v>
      </c>
      <c r="S23" s="17">
        <v>8</v>
      </c>
      <c r="T23" s="17">
        <v>0.6</v>
      </c>
      <c r="U23" s="2" t="s">
        <v>21</v>
      </c>
    </row>
    <row r="24" spans="2:21">
      <c r="B24" s="5">
        <v>45797</v>
      </c>
      <c r="C24" s="11">
        <v>7.0000000000000007E-2</v>
      </c>
      <c r="D24" s="11">
        <v>0.83333333300000001</v>
      </c>
      <c r="E24" s="3" t="s">
        <v>18</v>
      </c>
      <c r="F24" s="8">
        <v>4.3</v>
      </c>
      <c r="G24" s="21">
        <v>0.22500000000000001</v>
      </c>
      <c r="H24" s="8">
        <v>52.474999999999994</v>
      </c>
      <c r="I24" s="9">
        <v>2.27</v>
      </c>
      <c r="J24" s="9">
        <v>462</v>
      </c>
      <c r="K24" s="12">
        <v>22.8</v>
      </c>
      <c r="L24" s="2" t="s">
        <v>19</v>
      </c>
      <c r="M24" s="3" t="s">
        <v>22</v>
      </c>
      <c r="N24" s="11">
        <v>6.8769230769230777E-2</v>
      </c>
      <c r="O24" s="11">
        <v>1.2E-2</v>
      </c>
      <c r="P24" s="16">
        <v>52.323333333333345</v>
      </c>
      <c r="Q24" s="3">
        <v>0</v>
      </c>
      <c r="R24" s="17">
        <v>2.292307692307693</v>
      </c>
      <c r="S24" s="17">
        <v>8</v>
      </c>
      <c r="T24" s="17">
        <v>1.4</v>
      </c>
      <c r="U24" s="2" t="s">
        <v>21</v>
      </c>
    </row>
    <row r="25" spans="2:21">
      <c r="B25" s="5">
        <v>45798</v>
      </c>
      <c r="C25" s="11">
        <v>7.0000000000000007E-2</v>
      </c>
      <c r="D25" s="11">
        <v>0.83333333300000001</v>
      </c>
      <c r="E25" s="3" t="s">
        <v>18</v>
      </c>
      <c r="F25" s="8">
        <v>4.54</v>
      </c>
      <c r="G25" s="21">
        <v>0.21</v>
      </c>
      <c r="H25" s="8">
        <v>52.48</v>
      </c>
      <c r="I25" s="9">
        <v>2.2400000000000002</v>
      </c>
      <c r="J25" s="9">
        <v>507.5</v>
      </c>
      <c r="K25" s="12">
        <v>30.7</v>
      </c>
      <c r="L25" s="2" t="s">
        <v>19</v>
      </c>
      <c r="M25" s="3" t="s">
        <v>22</v>
      </c>
      <c r="N25" s="11">
        <v>7.408333333333332E-2</v>
      </c>
      <c r="O25" s="11">
        <v>1.2E-2</v>
      </c>
      <c r="P25" s="16">
        <v>52.493333333333332</v>
      </c>
      <c r="Q25" s="3">
        <v>0</v>
      </c>
      <c r="R25" s="17">
        <v>2.3833333333333333</v>
      </c>
      <c r="S25" s="17">
        <v>8</v>
      </c>
      <c r="T25" s="17">
        <v>2.8</v>
      </c>
      <c r="U25" s="2" t="s">
        <v>21</v>
      </c>
    </row>
    <row r="26" spans="2:21">
      <c r="B26" s="5">
        <v>45799</v>
      </c>
      <c r="C26" s="11">
        <v>7.0000000000000007E-2</v>
      </c>
      <c r="D26" s="11">
        <v>0.83333333300000001</v>
      </c>
      <c r="E26" s="3" t="s">
        <v>18</v>
      </c>
      <c r="F26" s="8">
        <v>4.4450000000000003</v>
      </c>
      <c r="G26" s="21">
        <v>0.215</v>
      </c>
      <c r="H26" s="8">
        <v>52.594999999999999</v>
      </c>
      <c r="I26" s="9">
        <v>2.2850000000000001</v>
      </c>
      <c r="J26" s="9">
        <v>464</v>
      </c>
      <c r="K26" s="12">
        <v>29.3</v>
      </c>
      <c r="L26" s="2" t="s">
        <v>19</v>
      </c>
      <c r="M26" s="3" t="s">
        <v>20</v>
      </c>
      <c r="N26" s="11">
        <v>7.3416666666666644E-2</v>
      </c>
      <c r="O26" s="11">
        <v>1.2E-2</v>
      </c>
      <c r="P26" s="16">
        <v>52.62</v>
      </c>
      <c r="Q26" s="3">
        <v>0</v>
      </c>
      <c r="R26" s="17">
        <v>2.4384615384615378</v>
      </c>
      <c r="S26" s="17">
        <v>8</v>
      </c>
      <c r="T26" s="17">
        <v>3.2</v>
      </c>
      <c r="U26" s="2" t="s">
        <v>21</v>
      </c>
    </row>
    <row r="27" spans="2:21">
      <c r="B27" s="5">
        <v>45800</v>
      </c>
      <c r="C27" s="11">
        <v>7.6249999999999998E-2</v>
      </c>
      <c r="D27" s="11">
        <v>0.89583333300000001</v>
      </c>
      <c r="E27" s="3" t="s">
        <v>18</v>
      </c>
      <c r="F27" s="8">
        <v>4.37</v>
      </c>
      <c r="G27" s="21">
        <v>0.215</v>
      </c>
      <c r="H27" s="8">
        <v>52.28</v>
      </c>
      <c r="I27" s="9">
        <v>2.2799999999999998</v>
      </c>
      <c r="J27" s="9">
        <v>463</v>
      </c>
      <c r="K27" s="12">
        <v>26.9</v>
      </c>
      <c r="L27" s="2" t="s">
        <v>19</v>
      </c>
      <c r="M27" s="3" t="s">
        <v>58</v>
      </c>
      <c r="N27" s="11">
        <v>7.7166666666666675E-2</v>
      </c>
      <c r="O27" s="11">
        <v>1.0999999999999999E-2</v>
      </c>
      <c r="P27" s="16">
        <v>52.77</v>
      </c>
      <c r="Q27" s="3">
        <v>0</v>
      </c>
      <c r="R27" s="17">
        <v>2.3249999999999997</v>
      </c>
      <c r="S27" s="17">
        <v>8</v>
      </c>
      <c r="T27" s="17">
        <v>2.4</v>
      </c>
      <c r="U27" s="2" t="s">
        <v>21</v>
      </c>
    </row>
    <row r="28" spans="2:21">
      <c r="B28" s="5">
        <v>45801</v>
      </c>
      <c r="C28" s="11">
        <v>0.08</v>
      </c>
      <c r="D28" s="11">
        <v>0.9</v>
      </c>
      <c r="E28" s="3" t="s">
        <v>18</v>
      </c>
      <c r="F28" s="8">
        <v>4.2349999999999994</v>
      </c>
      <c r="G28" s="21">
        <v>0.215</v>
      </c>
      <c r="H28" s="8">
        <v>52.51</v>
      </c>
      <c r="I28" s="9">
        <v>2.25</v>
      </c>
      <c r="J28" s="9">
        <v>458.5</v>
      </c>
      <c r="K28" s="12">
        <v>29.6</v>
      </c>
      <c r="L28" s="2" t="s">
        <v>19</v>
      </c>
      <c r="M28" s="3" t="s">
        <v>45</v>
      </c>
      <c r="N28" s="11">
        <v>6.925000000000002E-2</v>
      </c>
      <c r="O28" s="11">
        <v>1.15E-2</v>
      </c>
      <c r="P28" s="16">
        <v>52.573333333333331</v>
      </c>
      <c r="Q28" s="3">
        <v>0</v>
      </c>
      <c r="R28" s="17">
        <v>2.2583333333333333</v>
      </c>
      <c r="S28" s="17">
        <v>8</v>
      </c>
      <c r="T28" s="17">
        <v>2.2000000000000002</v>
      </c>
      <c r="U28" s="2" t="s">
        <v>21</v>
      </c>
    </row>
    <row r="29" spans="2:21">
      <c r="B29" s="5">
        <v>45802</v>
      </c>
      <c r="C29" s="11">
        <v>0.08</v>
      </c>
      <c r="D29" s="11">
        <v>0.9</v>
      </c>
      <c r="E29" s="3" t="s">
        <v>18</v>
      </c>
      <c r="F29" s="8">
        <v>4.165</v>
      </c>
      <c r="G29" s="21">
        <v>0.215</v>
      </c>
      <c r="H29" s="8">
        <v>52.59</v>
      </c>
      <c r="I29" s="9">
        <v>2.31</v>
      </c>
      <c r="J29" s="9">
        <v>475.5</v>
      </c>
      <c r="K29" s="12">
        <v>30.9</v>
      </c>
      <c r="L29" s="2" t="s">
        <v>19</v>
      </c>
      <c r="M29" s="3" t="s">
        <v>45</v>
      </c>
      <c r="N29" s="11">
        <v>7.0166666666666669E-2</v>
      </c>
      <c r="O29" s="11">
        <v>1.2E-2</v>
      </c>
      <c r="P29" s="16">
        <v>52.516666666666673</v>
      </c>
      <c r="Q29" s="3">
        <v>0</v>
      </c>
      <c r="R29" s="3">
        <v>2.1999999999999997</v>
      </c>
      <c r="S29" s="17">
        <v>8</v>
      </c>
      <c r="T29" s="17">
        <v>2.2000000000000002</v>
      </c>
      <c r="U29" s="2" t="s">
        <v>21</v>
      </c>
    </row>
    <row r="30" spans="2:21">
      <c r="B30" s="5">
        <v>45803</v>
      </c>
      <c r="C30" s="11">
        <v>0.08</v>
      </c>
      <c r="D30" s="11">
        <v>0.83478260900000001</v>
      </c>
      <c r="E30" s="3" t="s">
        <v>18</v>
      </c>
      <c r="F30" s="8">
        <v>4.2650000000000006</v>
      </c>
      <c r="G30" s="21">
        <v>0.20500000000000002</v>
      </c>
      <c r="H30" s="8">
        <v>52.635000000000005</v>
      </c>
      <c r="I30" s="9">
        <v>2.2949999999999999</v>
      </c>
      <c r="J30" s="9">
        <v>463.5</v>
      </c>
      <c r="K30" s="12">
        <v>26.7</v>
      </c>
      <c r="L30" s="2" t="s">
        <v>19</v>
      </c>
      <c r="M30" s="3" t="s">
        <v>45</v>
      </c>
      <c r="N30" s="11">
        <v>7.0999999999999994E-2</v>
      </c>
      <c r="O30" s="11">
        <v>1.15E-2</v>
      </c>
      <c r="P30" s="16">
        <v>52.548000000000002</v>
      </c>
      <c r="Q30" s="3">
        <v>0</v>
      </c>
      <c r="R30" s="17">
        <v>2.2666666666666671</v>
      </c>
      <c r="S30" s="17">
        <v>8</v>
      </c>
      <c r="T30" s="17">
        <v>1.4</v>
      </c>
      <c r="U30" s="2" t="s">
        <v>21</v>
      </c>
    </row>
    <row r="31" spans="2:21">
      <c r="B31" s="5">
        <v>45804</v>
      </c>
      <c r="C31" s="11">
        <v>7.4999999999999997E-2</v>
      </c>
      <c r="D31" s="11">
        <v>0.82916666699999997</v>
      </c>
      <c r="E31" s="3" t="s">
        <v>18</v>
      </c>
      <c r="F31" s="8">
        <v>4.12</v>
      </c>
      <c r="G31" s="21">
        <v>0.21500000000000002</v>
      </c>
      <c r="H31" s="9">
        <v>52.67</v>
      </c>
      <c r="I31" s="9">
        <v>2.2800000000000002</v>
      </c>
      <c r="J31" s="9">
        <v>466.5</v>
      </c>
      <c r="K31" s="12">
        <v>23.4</v>
      </c>
      <c r="L31" s="2" t="s">
        <v>19</v>
      </c>
      <c r="M31" s="3" t="s">
        <v>22</v>
      </c>
      <c r="N31" s="11">
        <v>8.2769230769230775E-2</v>
      </c>
      <c r="O31" s="11">
        <v>1.2E-2</v>
      </c>
      <c r="P31" s="16">
        <v>52.733333333333327</v>
      </c>
      <c r="Q31" s="3">
        <v>0</v>
      </c>
      <c r="R31" s="3">
        <v>2.5999999999999996</v>
      </c>
      <c r="S31" s="17">
        <v>8</v>
      </c>
      <c r="T31" s="17">
        <v>3.1</v>
      </c>
      <c r="U31" s="2" t="s">
        <v>21</v>
      </c>
    </row>
    <row r="32" spans="2:21">
      <c r="B32" s="5">
        <v>45805</v>
      </c>
      <c r="C32" s="11">
        <v>7.0000000000000007E-2</v>
      </c>
      <c r="D32" s="11">
        <v>0.88749999999999996</v>
      </c>
      <c r="E32" s="3" t="s">
        <v>18</v>
      </c>
      <c r="F32" s="8">
        <v>3.8849999999999998</v>
      </c>
      <c r="G32" s="21">
        <v>0.215</v>
      </c>
      <c r="H32" s="8">
        <v>52.604999999999997</v>
      </c>
      <c r="I32" s="9">
        <v>2.105</v>
      </c>
      <c r="J32" s="9">
        <v>433.5</v>
      </c>
      <c r="K32" s="12">
        <v>32.5</v>
      </c>
      <c r="L32" s="2" t="s">
        <v>19</v>
      </c>
      <c r="M32" s="3" t="s">
        <v>22</v>
      </c>
      <c r="N32" s="11">
        <v>6.9000000000000006E-2</v>
      </c>
      <c r="O32" s="11">
        <v>1.2500000000000001E-2</v>
      </c>
      <c r="P32" s="16">
        <v>52.483333333333327</v>
      </c>
      <c r="Q32" s="3">
        <v>0</v>
      </c>
      <c r="R32" s="17">
        <v>2.3153846153846152</v>
      </c>
      <c r="S32" s="17">
        <v>8</v>
      </c>
      <c r="T32" s="17">
        <v>2.6</v>
      </c>
      <c r="U32" s="2" t="s">
        <v>21</v>
      </c>
    </row>
    <row r="33" spans="2:21">
      <c r="B33" s="5">
        <v>45806</v>
      </c>
      <c r="C33" s="11">
        <v>7.0000000000000007E-2</v>
      </c>
      <c r="D33" s="11">
        <v>0.86666666699999995</v>
      </c>
      <c r="E33" s="3" t="s">
        <v>18</v>
      </c>
      <c r="F33" s="8">
        <v>3.8099999999999996</v>
      </c>
      <c r="G33" s="21">
        <v>0.215</v>
      </c>
      <c r="H33" s="8">
        <v>52.504999999999995</v>
      </c>
      <c r="I33" s="9">
        <v>2.2349999999999999</v>
      </c>
      <c r="J33" s="9">
        <v>461.5</v>
      </c>
      <c r="K33" s="12">
        <v>26.1</v>
      </c>
      <c r="L33" s="2" t="s">
        <v>19</v>
      </c>
      <c r="M33" s="3" t="s">
        <v>59</v>
      </c>
      <c r="N33" s="11">
        <v>6.8083333333333329E-2</v>
      </c>
      <c r="O33" s="11">
        <v>1.0999999999999999E-2</v>
      </c>
      <c r="P33" s="16">
        <v>52.656666666666666</v>
      </c>
      <c r="Q33" s="3">
        <v>0</v>
      </c>
      <c r="R33" s="17">
        <v>2.1749999999999998</v>
      </c>
      <c r="S33" s="17">
        <v>8</v>
      </c>
      <c r="T33" s="17">
        <v>2.5</v>
      </c>
      <c r="U33" s="2" t="s">
        <v>21</v>
      </c>
    </row>
    <row r="34" spans="2:21">
      <c r="B34" s="5">
        <v>45807</v>
      </c>
      <c r="C34" s="11">
        <v>6.5434782999999996E-2</v>
      </c>
      <c r="D34" s="11">
        <v>0.84347826100000001</v>
      </c>
      <c r="E34" s="3" t="s">
        <v>18</v>
      </c>
      <c r="F34" s="8">
        <v>3.71</v>
      </c>
      <c r="G34" s="21">
        <v>0.20500000000000002</v>
      </c>
      <c r="H34" s="8">
        <v>52.625</v>
      </c>
      <c r="I34" s="9">
        <v>2.29</v>
      </c>
      <c r="J34" s="9">
        <v>463</v>
      </c>
      <c r="K34" s="12">
        <v>25.3</v>
      </c>
      <c r="L34" s="2" t="s">
        <v>19</v>
      </c>
      <c r="M34" s="3" t="s">
        <v>20</v>
      </c>
      <c r="N34" s="11">
        <v>6.7083333333333328E-2</v>
      </c>
      <c r="O34" s="11">
        <v>1.0999999999999999E-2</v>
      </c>
      <c r="P34" s="16">
        <v>52.56</v>
      </c>
      <c r="Q34" s="3">
        <v>0</v>
      </c>
      <c r="R34" s="17">
        <v>2.125</v>
      </c>
      <c r="S34" s="17">
        <v>8</v>
      </c>
      <c r="T34" s="17">
        <v>2.2000000000000002</v>
      </c>
      <c r="U34" s="2" t="s">
        <v>21</v>
      </c>
    </row>
    <row r="35" spans="2:21">
      <c r="B35" s="5">
        <v>45808</v>
      </c>
      <c r="C35" s="3">
        <v>6.5000000000000002E-2</v>
      </c>
      <c r="D35" s="11">
        <v>0.8</v>
      </c>
      <c r="E35" s="3" t="s">
        <v>18</v>
      </c>
      <c r="F35" s="16">
        <v>3.855</v>
      </c>
      <c r="G35" s="11">
        <v>0.215</v>
      </c>
      <c r="H35" s="16">
        <v>52.515000000000001</v>
      </c>
      <c r="I35" s="16">
        <v>2.27</v>
      </c>
      <c r="J35" s="16">
        <v>458</v>
      </c>
      <c r="K35" s="17">
        <v>27.1</v>
      </c>
      <c r="L35" s="2" t="s">
        <v>19</v>
      </c>
      <c r="M35" s="3" t="s">
        <v>20</v>
      </c>
      <c r="N35" s="11">
        <v>7.3692307692307696E-2</v>
      </c>
      <c r="O35" s="3">
        <v>1.2E-2</v>
      </c>
      <c r="P35" s="3">
        <v>52.53</v>
      </c>
      <c r="Q35" s="3">
        <v>0</v>
      </c>
      <c r="R35" s="17">
        <v>2.2846153846153854</v>
      </c>
      <c r="S35" s="17">
        <v>8</v>
      </c>
      <c r="T35" s="3">
        <v>1.4</v>
      </c>
      <c r="U35" s="2" t="s">
        <v>21</v>
      </c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6">
    <mergeCell ref="M3:U3"/>
    <mergeCell ref="B37:D37"/>
    <mergeCell ref="B3:B4"/>
    <mergeCell ref="C3:C4"/>
    <mergeCell ref="D3:D4"/>
    <mergeCell ref="E3:L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34B7-5C44-4C75-B713-1ADFF5B0D9BE}">
  <sheetPr codeName="Sheet6"/>
  <dimension ref="B3:U41"/>
  <sheetViews>
    <sheetView topLeftCell="E1" workbookViewId="0">
      <selection activeCell="C20" sqref="C20"/>
    </sheetView>
  </sheetViews>
  <sheetFormatPr defaultRowHeight="15"/>
  <cols>
    <col min="2" max="4" width="15.7109375" style="4" customWidth="1"/>
    <col min="5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45809</v>
      </c>
      <c r="C5" s="3">
        <v>6.5000000000000002E-2</v>
      </c>
      <c r="D5" s="11">
        <v>0.85</v>
      </c>
      <c r="E5" s="3" t="s">
        <v>18</v>
      </c>
      <c r="F5" s="8">
        <v>4.03</v>
      </c>
      <c r="G5" s="21">
        <v>0.19500000000000001</v>
      </c>
      <c r="H5" s="8">
        <v>52.545000000000002</v>
      </c>
      <c r="I5" s="8">
        <v>2.3250000000000002</v>
      </c>
      <c r="J5" s="8">
        <v>468</v>
      </c>
      <c r="K5" s="12">
        <v>28.7</v>
      </c>
      <c r="L5" s="2" t="s">
        <v>19</v>
      </c>
      <c r="M5" s="3" t="s">
        <v>20</v>
      </c>
      <c r="N5" s="20">
        <v>6.8083333333333329E-2</v>
      </c>
      <c r="O5" s="20">
        <v>1.2E-2</v>
      </c>
      <c r="P5" s="13">
        <v>52.655000000000001</v>
      </c>
      <c r="Q5" s="14">
        <v>0</v>
      </c>
      <c r="R5" s="15">
        <v>2.2166666666666672</v>
      </c>
      <c r="S5" s="17">
        <v>8</v>
      </c>
      <c r="T5" s="17">
        <v>1.7</v>
      </c>
      <c r="U5" s="2" t="s">
        <v>21</v>
      </c>
    </row>
    <row r="6" spans="2:21" ht="15.75">
      <c r="B6" s="5">
        <v>45810</v>
      </c>
      <c r="C6" s="3">
        <v>6.5000000000000002E-2</v>
      </c>
      <c r="D6" s="11">
        <v>0.8</v>
      </c>
      <c r="E6" s="3" t="s">
        <v>18</v>
      </c>
      <c r="F6" s="8">
        <v>3.9749999999999996</v>
      </c>
      <c r="G6" s="21">
        <v>0.20500000000000002</v>
      </c>
      <c r="H6" s="8">
        <v>52.575000000000003</v>
      </c>
      <c r="I6" s="9">
        <v>2.25</v>
      </c>
      <c r="J6" s="9">
        <v>458</v>
      </c>
      <c r="K6" s="12">
        <v>29</v>
      </c>
      <c r="L6" s="2" t="s">
        <v>19</v>
      </c>
      <c r="M6" s="3" t="s">
        <v>20</v>
      </c>
      <c r="N6" s="11">
        <v>6.6333333333333341E-2</v>
      </c>
      <c r="O6" s="11">
        <v>1.15E-2</v>
      </c>
      <c r="P6" s="16">
        <v>52.424999999999997</v>
      </c>
      <c r="Q6" s="14">
        <v>0</v>
      </c>
      <c r="R6" s="17">
        <v>2.1833333333333336</v>
      </c>
      <c r="S6" s="17">
        <v>8</v>
      </c>
      <c r="T6" s="17">
        <v>1.8</v>
      </c>
      <c r="U6" s="2" t="s">
        <v>21</v>
      </c>
    </row>
    <row r="7" spans="2:21" ht="15.75">
      <c r="B7" s="5">
        <v>45811</v>
      </c>
      <c r="C7" s="11">
        <v>6.5000000000000002E-2</v>
      </c>
      <c r="D7" s="11">
        <v>0.86</v>
      </c>
      <c r="E7" s="3" t="s">
        <v>18</v>
      </c>
      <c r="F7" s="8">
        <v>3.9299999999999997</v>
      </c>
      <c r="G7" s="21">
        <v>0.21500000000000002</v>
      </c>
      <c r="H7" s="8">
        <v>52.484999999999999</v>
      </c>
      <c r="I7" s="9">
        <v>2.1149999999999998</v>
      </c>
      <c r="J7" s="9">
        <v>452.5</v>
      </c>
      <c r="K7" s="12">
        <v>28.8</v>
      </c>
      <c r="L7" s="2" t="s">
        <v>19</v>
      </c>
      <c r="M7" s="3" t="s">
        <v>22</v>
      </c>
      <c r="N7" s="11">
        <v>6.5999999999999989E-2</v>
      </c>
      <c r="O7" s="11">
        <v>1.2E-2</v>
      </c>
      <c r="P7" s="16">
        <v>52.51</v>
      </c>
      <c r="Q7" s="14">
        <v>0</v>
      </c>
      <c r="R7" s="17">
        <v>2.2000000000000006</v>
      </c>
      <c r="S7" s="17">
        <v>8</v>
      </c>
      <c r="T7" s="17">
        <v>1.7</v>
      </c>
      <c r="U7" s="2" t="s">
        <v>21</v>
      </c>
    </row>
    <row r="8" spans="2:21" ht="15.75">
      <c r="B8" s="5">
        <v>45812</v>
      </c>
      <c r="C8" s="11">
        <v>6.5000000000000002E-2</v>
      </c>
      <c r="D8" s="11">
        <v>0.8</v>
      </c>
      <c r="E8" s="3" t="s">
        <v>18</v>
      </c>
      <c r="F8" s="8">
        <v>4.0549999999999997</v>
      </c>
      <c r="G8" s="21">
        <v>0.21</v>
      </c>
      <c r="H8" s="8">
        <v>52.674999999999997</v>
      </c>
      <c r="I8" s="9">
        <v>2.14</v>
      </c>
      <c r="J8" s="9">
        <v>428</v>
      </c>
      <c r="K8" s="12">
        <v>28.6</v>
      </c>
      <c r="L8" s="2" t="s">
        <v>19</v>
      </c>
      <c r="M8" s="3" t="s">
        <v>20</v>
      </c>
      <c r="N8" s="11">
        <v>6.5483333333333324E-2</v>
      </c>
      <c r="O8" s="11">
        <v>1.0999999999999999E-2</v>
      </c>
      <c r="P8" s="16">
        <v>52.375</v>
      </c>
      <c r="Q8" s="14">
        <v>0</v>
      </c>
      <c r="R8" s="17">
        <v>2.1500000000000004</v>
      </c>
      <c r="S8" s="17">
        <v>8</v>
      </c>
      <c r="T8" s="17">
        <v>1.9</v>
      </c>
      <c r="U8" s="2" t="s">
        <v>21</v>
      </c>
    </row>
    <row r="9" spans="2:21" ht="15.75">
      <c r="B9" s="5">
        <v>45813</v>
      </c>
      <c r="C9" s="11">
        <v>6.5000000000000002E-2</v>
      </c>
      <c r="D9" s="11">
        <v>0.8</v>
      </c>
      <c r="E9" s="3" t="s">
        <v>18</v>
      </c>
      <c r="F9" s="8">
        <v>3.9699999999999998</v>
      </c>
      <c r="G9" s="21">
        <v>0.21000000000000002</v>
      </c>
      <c r="H9" s="8">
        <v>52.64</v>
      </c>
      <c r="I9" s="9">
        <v>2.145</v>
      </c>
      <c r="J9" s="9">
        <v>452</v>
      </c>
      <c r="K9" s="12">
        <v>28.7</v>
      </c>
      <c r="L9" s="2" t="s">
        <v>19</v>
      </c>
      <c r="M9" s="3" t="s">
        <v>20</v>
      </c>
      <c r="N9" s="11">
        <v>6.5833333333333341E-2</v>
      </c>
      <c r="O9" s="11">
        <v>1.0999999999999999E-2</v>
      </c>
      <c r="P9" s="16">
        <v>52.504999999999995</v>
      </c>
      <c r="Q9" s="14">
        <v>0</v>
      </c>
      <c r="R9" s="17">
        <v>2.2250000000000001</v>
      </c>
      <c r="S9" s="17">
        <v>8</v>
      </c>
      <c r="T9" s="17">
        <v>2.1</v>
      </c>
      <c r="U9" s="2" t="s">
        <v>21</v>
      </c>
    </row>
    <row r="10" spans="2:21" ht="15.75">
      <c r="B10" s="5">
        <v>45814</v>
      </c>
      <c r="C10" s="11">
        <v>6.5000000000000002E-2</v>
      </c>
      <c r="D10" s="11">
        <v>0.8</v>
      </c>
      <c r="E10" s="3" t="s">
        <v>18</v>
      </c>
      <c r="F10" s="8">
        <v>3.9849999999999999</v>
      </c>
      <c r="G10" s="21">
        <v>0.22</v>
      </c>
      <c r="H10" s="8">
        <v>52.45</v>
      </c>
      <c r="I10" s="9">
        <v>2.3049999999999997</v>
      </c>
      <c r="J10" s="9">
        <v>465</v>
      </c>
      <c r="K10" s="12">
        <v>28.4</v>
      </c>
      <c r="L10" s="2" t="s">
        <v>19</v>
      </c>
      <c r="M10" s="3" t="s">
        <v>20</v>
      </c>
      <c r="N10" s="11">
        <v>6.9333333333333344E-2</v>
      </c>
      <c r="O10" s="11">
        <v>1.2E-2</v>
      </c>
      <c r="P10" s="16">
        <v>52.58</v>
      </c>
      <c r="Q10" s="14">
        <v>0</v>
      </c>
      <c r="R10" s="17">
        <v>2.1750000000000003</v>
      </c>
      <c r="S10" s="17">
        <v>8</v>
      </c>
      <c r="T10" s="17">
        <v>2.6</v>
      </c>
      <c r="U10" s="2" t="s">
        <v>21</v>
      </c>
    </row>
    <row r="11" spans="2:21" ht="15.75">
      <c r="B11" s="5">
        <v>45815</v>
      </c>
      <c r="C11" s="3">
        <v>6.5000000000000002E-2</v>
      </c>
      <c r="D11" s="11">
        <v>0.8</v>
      </c>
      <c r="E11" s="3" t="s">
        <v>18</v>
      </c>
      <c r="F11" s="8">
        <v>3.895</v>
      </c>
      <c r="G11" s="21">
        <v>0.23</v>
      </c>
      <c r="H11" s="8">
        <v>52.564999999999998</v>
      </c>
      <c r="I11" s="9">
        <v>2.2450000000000001</v>
      </c>
      <c r="J11" s="9">
        <v>456.5</v>
      </c>
      <c r="K11" s="12">
        <v>32.9</v>
      </c>
      <c r="L11" s="2" t="s">
        <v>19</v>
      </c>
      <c r="M11" s="3" t="s">
        <v>20</v>
      </c>
      <c r="N11" s="11">
        <v>6.6083333333333341E-2</v>
      </c>
      <c r="O11" s="11">
        <v>1.2500000000000001E-2</v>
      </c>
      <c r="P11" s="16">
        <v>52.849999999999994</v>
      </c>
      <c r="Q11" s="14">
        <v>0</v>
      </c>
      <c r="R11" s="17">
        <v>2.15</v>
      </c>
      <c r="S11" s="17">
        <v>8</v>
      </c>
      <c r="T11" s="17">
        <v>2.2999999999999998</v>
      </c>
      <c r="U11" s="2" t="s">
        <v>21</v>
      </c>
    </row>
    <row r="12" spans="2:21" ht="15.75">
      <c r="B12" s="5">
        <v>45816</v>
      </c>
      <c r="C12" s="11">
        <v>6.5000000000000002E-2</v>
      </c>
      <c r="D12" s="11">
        <v>0.8</v>
      </c>
      <c r="E12" s="3" t="s">
        <v>18</v>
      </c>
      <c r="F12" s="8">
        <v>3.96</v>
      </c>
      <c r="G12" s="21">
        <v>0.22</v>
      </c>
      <c r="H12" s="8">
        <v>52.47</v>
      </c>
      <c r="I12" s="9">
        <v>2.27</v>
      </c>
      <c r="J12" s="9">
        <v>456</v>
      </c>
      <c r="K12" s="12">
        <v>30.9</v>
      </c>
      <c r="L12" s="2" t="s">
        <v>19</v>
      </c>
      <c r="M12" s="3" t="s">
        <v>20</v>
      </c>
      <c r="N12" s="11">
        <v>7.0923076923076922E-2</v>
      </c>
      <c r="O12" s="11">
        <v>1.2E-2</v>
      </c>
      <c r="P12" s="16">
        <v>52.695</v>
      </c>
      <c r="Q12" s="14">
        <v>0</v>
      </c>
      <c r="R12" s="17">
        <v>2.2384615384615385</v>
      </c>
      <c r="S12" s="17">
        <v>8</v>
      </c>
      <c r="T12" s="17">
        <v>3.1</v>
      </c>
      <c r="U12" s="2" t="s">
        <v>21</v>
      </c>
    </row>
    <row r="13" spans="2:21" ht="15.75">
      <c r="B13" s="5">
        <v>45817</v>
      </c>
      <c r="C13" s="11">
        <v>6.5000000000000002E-2</v>
      </c>
      <c r="D13" s="11">
        <v>0.98</v>
      </c>
      <c r="E13" s="3" t="s">
        <v>18</v>
      </c>
      <c r="F13" s="8">
        <v>3.51</v>
      </c>
      <c r="G13" s="21">
        <v>0.21</v>
      </c>
      <c r="H13" s="8">
        <v>52.605000000000004</v>
      </c>
      <c r="I13" s="9">
        <v>2.085</v>
      </c>
      <c r="J13" s="9">
        <v>439.5</v>
      </c>
      <c r="K13" s="12">
        <v>25.8</v>
      </c>
      <c r="L13" s="2" t="s">
        <v>19</v>
      </c>
      <c r="M13" s="3" t="s">
        <v>20</v>
      </c>
      <c r="N13" s="11">
        <v>6.6833333333333314E-2</v>
      </c>
      <c r="O13" s="11">
        <v>1.2E-2</v>
      </c>
      <c r="P13" s="16">
        <v>52.424999999999997</v>
      </c>
      <c r="Q13" s="14">
        <v>0</v>
      </c>
      <c r="R13" s="17">
        <v>2.0916666666666663</v>
      </c>
      <c r="S13" s="17">
        <v>8</v>
      </c>
      <c r="T13" s="17">
        <v>2.9</v>
      </c>
      <c r="U13" s="2" t="s">
        <v>21</v>
      </c>
    </row>
    <row r="14" spans="2:21" ht="15.75">
      <c r="B14" s="5">
        <v>45818</v>
      </c>
      <c r="C14" s="11">
        <v>6.5000000000000002E-2</v>
      </c>
      <c r="D14" s="11">
        <v>1</v>
      </c>
      <c r="E14" s="3" t="s">
        <v>18</v>
      </c>
      <c r="F14" s="8">
        <v>3.9699999999999998</v>
      </c>
      <c r="G14" s="21">
        <v>0.20500000000000002</v>
      </c>
      <c r="H14" s="8">
        <v>52.49</v>
      </c>
      <c r="I14" s="9">
        <v>2.125</v>
      </c>
      <c r="J14" s="9">
        <v>458.5</v>
      </c>
      <c r="K14" s="12">
        <v>26.2</v>
      </c>
      <c r="L14" s="2" t="s">
        <v>19</v>
      </c>
      <c r="M14" s="3" t="s">
        <v>48</v>
      </c>
      <c r="N14" s="11">
        <v>6.7500000000000004E-2</v>
      </c>
      <c r="O14" s="11">
        <v>1.15E-2</v>
      </c>
      <c r="P14" s="16">
        <v>52.326666666666675</v>
      </c>
      <c r="Q14" s="14">
        <v>0</v>
      </c>
      <c r="R14" s="17">
        <v>2.2416666666666667</v>
      </c>
      <c r="S14" s="17">
        <v>8</v>
      </c>
      <c r="T14" s="17">
        <v>2.2999999999999998</v>
      </c>
      <c r="U14" s="2" t="s">
        <v>21</v>
      </c>
    </row>
    <row r="15" spans="2:21" ht="15.75">
      <c r="B15" s="5">
        <v>45819</v>
      </c>
      <c r="C15" s="11">
        <v>6.5000000000000002E-2</v>
      </c>
      <c r="D15" s="11">
        <v>1.2</v>
      </c>
      <c r="E15" s="3" t="s">
        <v>18</v>
      </c>
      <c r="F15" s="8">
        <v>4.0150000000000006</v>
      </c>
      <c r="G15" s="21">
        <v>0.21</v>
      </c>
      <c r="H15" s="8">
        <v>52.414999999999999</v>
      </c>
      <c r="I15" s="9">
        <v>2.2199999999999998</v>
      </c>
      <c r="J15" s="9">
        <v>455</v>
      </c>
      <c r="K15" s="12">
        <v>28.1</v>
      </c>
      <c r="L15" s="2" t="s">
        <v>19</v>
      </c>
      <c r="M15" s="3" t="s">
        <v>22</v>
      </c>
      <c r="N15" s="11">
        <v>6.7000000000000004E-2</v>
      </c>
      <c r="O15" s="11">
        <v>1.15E-2</v>
      </c>
      <c r="P15" s="16">
        <v>52.537999999999997</v>
      </c>
      <c r="Q15" s="14">
        <v>0</v>
      </c>
      <c r="R15" s="17">
        <v>2.2416666666666667</v>
      </c>
      <c r="S15" s="17">
        <v>8</v>
      </c>
      <c r="T15" s="17">
        <v>2.9</v>
      </c>
      <c r="U15" s="2" t="s">
        <v>21</v>
      </c>
    </row>
    <row r="16" spans="2:21" ht="15.75">
      <c r="B16" s="5">
        <v>45820</v>
      </c>
      <c r="C16" s="11">
        <v>6.5000000000000002E-2</v>
      </c>
      <c r="D16" s="11">
        <v>1.02</v>
      </c>
      <c r="E16" s="3" t="s">
        <v>18</v>
      </c>
      <c r="F16" s="8">
        <v>4.2300000000000004</v>
      </c>
      <c r="G16" s="21">
        <v>0.20500000000000002</v>
      </c>
      <c r="H16" s="8">
        <v>52.575000000000003</v>
      </c>
      <c r="I16" s="9">
        <v>2.21</v>
      </c>
      <c r="J16" s="9">
        <v>450</v>
      </c>
      <c r="K16" s="12">
        <v>30.3</v>
      </c>
      <c r="L16" s="2" t="s">
        <v>19</v>
      </c>
      <c r="M16" s="3" t="s">
        <v>22</v>
      </c>
      <c r="N16" s="11">
        <v>6.6000000000000003E-2</v>
      </c>
      <c r="O16" s="11">
        <v>1.0999999999999999E-2</v>
      </c>
      <c r="P16" s="16">
        <v>52.616666666666674</v>
      </c>
      <c r="Q16" s="14">
        <v>0</v>
      </c>
      <c r="R16" s="17">
        <v>2.2749999999999999</v>
      </c>
      <c r="S16" s="17">
        <v>8</v>
      </c>
      <c r="T16" s="17">
        <v>2.2999999999999998</v>
      </c>
      <c r="U16" s="2" t="s">
        <v>21</v>
      </c>
    </row>
    <row r="17" spans="2:21" ht="15.75">
      <c r="B17" s="5">
        <v>45821</v>
      </c>
      <c r="C17" s="11">
        <v>6.5000000000000002E-2</v>
      </c>
      <c r="D17" s="11">
        <v>1.1000000000000001</v>
      </c>
      <c r="E17" s="3" t="s">
        <v>18</v>
      </c>
      <c r="F17" s="8">
        <v>4.1749999999999998</v>
      </c>
      <c r="G17" s="21">
        <v>0.23</v>
      </c>
      <c r="H17" s="8">
        <v>52.655000000000001</v>
      </c>
      <c r="I17" s="9">
        <v>2.2250000000000001</v>
      </c>
      <c r="J17" s="9">
        <v>458</v>
      </c>
      <c r="K17" s="12">
        <v>28.7</v>
      </c>
      <c r="L17" s="2" t="s">
        <v>19</v>
      </c>
      <c r="M17" s="3" t="s">
        <v>22</v>
      </c>
      <c r="N17" s="11">
        <v>6.508333333333334E-2</v>
      </c>
      <c r="O17" s="11">
        <v>1.3000000000000001E-2</v>
      </c>
      <c r="P17" s="16">
        <v>52.57</v>
      </c>
      <c r="Q17" s="14">
        <v>0</v>
      </c>
      <c r="R17" s="17">
        <v>2.25</v>
      </c>
      <c r="S17" s="17">
        <v>8</v>
      </c>
      <c r="T17" s="17">
        <v>2.2999999999999998</v>
      </c>
      <c r="U17" s="2" t="s">
        <v>21</v>
      </c>
    </row>
    <row r="18" spans="2:21" ht="15.75">
      <c r="B18" s="5">
        <v>45822</v>
      </c>
      <c r="C18" s="3">
        <v>6.5000000000000002E-2</v>
      </c>
      <c r="D18" s="11">
        <v>1.1000000000000001</v>
      </c>
      <c r="E18" s="3" t="s">
        <v>18</v>
      </c>
      <c r="F18" s="8">
        <v>4.1850000000000005</v>
      </c>
      <c r="G18" s="21">
        <v>0.22</v>
      </c>
      <c r="H18" s="8">
        <v>52.36</v>
      </c>
      <c r="I18" s="9">
        <v>2.1100000000000003</v>
      </c>
      <c r="J18" s="9">
        <v>452</v>
      </c>
      <c r="K18" s="12">
        <v>35.1</v>
      </c>
      <c r="L18" s="2" t="s">
        <v>19</v>
      </c>
      <c r="M18" s="3" t="s">
        <v>22</v>
      </c>
      <c r="N18" s="11">
        <v>6.6249999999999989E-2</v>
      </c>
      <c r="O18" s="11">
        <v>1.15E-2</v>
      </c>
      <c r="P18" s="16">
        <v>52.259999999999991</v>
      </c>
      <c r="Q18" s="14">
        <v>0</v>
      </c>
      <c r="R18" s="17">
        <v>2.2166666666666672</v>
      </c>
      <c r="S18" s="17">
        <v>8</v>
      </c>
      <c r="T18" s="17">
        <v>2.7</v>
      </c>
      <c r="U18" s="2" t="s">
        <v>21</v>
      </c>
    </row>
    <row r="19" spans="2:21" ht="15.75">
      <c r="B19" s="5">
        <v>45823</v>
      </c>
      <c r="C19" s="11">
        <v>6.5000000000000002E-2</v>
      </c>
      <c r="D19" s="11">
        <v>1</v>
      </c>
      <c r="E19" s="3" t="s">
        <v>18</v>
      </c>
      <c r="F19" s="8">
        <v>4.1099999999999994</v>
      </c>
      <c r="G19" s="21">
        <v>0.22</v>
      </c>
      <c r="H19" s="8">
        <v>52.480000000000004</v>
      </c>
      <c r="I19" s="9">
        <v>2.1749999999999998</v>
      </c>
      <c r="J19" s="9">
        <v>439.5</v>
      </c>
      <c r="K19" s="12">
        <v>31.4</v>
      </c>
      <c r="L19" s="2" t="s">
        <v>19</v>
      </c>
      <c r="M19" s="3" t="s">
        <v>20</v>
      </c>
      <c r="N19" s="11">
        <v>6.6692307692307704E-2</v>
      </c>
      <c r="O19" s="11">
        <v>1.15E-2</v>
      </c>
      <c r="P19" s="16">
        <v>52.34</v>
      </c>
      <c r="Q19" s="14">
        <v>0</v>
      </c>
      <c r="R19" s="17">
        <v>2.2538461538461538</v>
      </c>
      <c r="S19" s="17">
        <v>8</v>
      </c>
      <c r="T19" s="17">
        <v>3.5</v>
      </c>
      <c r="U19" s="2" t="s">
        <v>21</v>
      </c>
    </row>
    <row r="20" spans="2:21" ht="15.75">
      <c r="B20" s="5">
        <v>45824</v>
      </c>
      <c r="C20" s="11">
        <v>7.0000000000000007E-2</v>
      </c>
      <c r="D20" s="11">
        <v>0.99</v>
      </c>
      <c r="E20" s="3" t="s">
        <v>18</v>
      </c>
      <c r="F20" s="8">
        <v>3.9800000000000004</v>
      </c>
      <c r="G20" s="21">
        <v>0.22</v>
      </c>
      <c r="H20" s="8">
        <v>52.480000000000004</v>
      </c>
      <c r="I20" s="9">
        <v>2.1900000000000004</v>
      </c>
      <c r="J20" s="9">
        <v>454.5</v>
      </c>
      <c r="K20" s="12">
        <v>27.6</v>
      </c>
      <c r="L20" s="2" t="s">
        <v>19</v>
      </c>
      <c r="M20" s="3" t="s">
        <v>20</v>
      </c>
      <c r="N20" s="11">
        <v>6.5750000000000017E-2</v>
      </c>
      <c r="O20" s="11">
        <v>1.2E-2</v>
      </c>
      <c r="P20" s="16">
        <v>52.39</v>
      </c>
      <c r="Q20" s="14">
        <v>0</v>
      </c>
      <c r="R20" s="17">
        <v>2.1749999999999998</v>
      </c>
      <c r="S20" s="17">
        <v>8</v>
      </c>
      <c r="T20" s="17">
        <v>3.2</v>
      </c>
      <c r="U20" s="2" t="s">
        <v>21</v>
      </c>
    </row>
    <row r="21" spans="2:21" ht="15.75">
      <c r="B21" s="5">
        <v>45825</v>
      </c>
      <c r="C21" s="11">
        <v>6.7000000000000004E-2</v>
      </c>
      <c r="D21" s="11">
        <v>0.8</v>
      </c>
      <c r="E21" s="3" t="s">
        <v>18</v>
      </c>
      <c r="F21" s="8">
        <v>4.2149999999999999</v>
      </c>
      <c r="G21" s="21">
        <v>0.22</v>
      </c>
      <c r="H21" s="8">
        <v>52.57</v>
      </c>
      <c r="I21" s="9">
        <v>2.2050000000000001</v>
      </c>
      <c r="J21" s="9">
        <v>452.5</v>
      </c>
      <c r="K21" s="12">
        <v>24.4</v>
      </c>
      <c r="L21" s="2" t="s">
        <v>19</v>
      </c>
      <c r="M21" s="3" t="s">
        <v>22</v>
      </c>
      <c r="N21" s="11">
        <v>6.9545454545454549E-2</v>
      </c>
      <c r="O21" s="11">
        <v>1.0999999999999999E-2</v>
      </c>
      <c r="P21" s="16">
        <v>52.81</v>
      </c>
      <c r="Q21" s="14">
        <v>0</v>
      </c>
      <c r="R21" s="17">
        <v>2.3416666666666668</v>
      </c>
      <c r="S21" s="17">
        <v>8</v>
      </c>
      <c r="T21" s="17">
        <v>2.8</v>
      </c>
      <c r="U21" s="2" t="s">
        <v>21</v>
      </c>
    </row>
    <row r="22" spans="2:21" ht="15.75">
      <c r="B22" s="5">
        <v>45826</v>
      </c>
      <c r="C22" s="11">
        <v>6.7000000000000004E-2</v>
      </c>
      <c r="D22" s="11">
        <v>0.8</v>
      </c>
      <c r="E22" s="3" t="s">
        <v>18</v>
      </c>
      <c r="F22" s="8">
        <v>4.0449999999999999</v>
      </c>
      <c r="G22" s="21">
        <v>0.22</v>
      </c>
      <c r="H22" s="8">
        <v>52.555</v>
      </c>
      <c r="I22" s="8">
        <v>2.21</v>
      </c>
      <c r="J22" s="9">
        <v>453.5</v>
      </c>
      <c r="K22" s="12">
        <v>22.8</v>
      </c>
      <c r="L22" s="2" t="s">
        <v>19</v>
      </c>
      <c r="M22" s="3" t="s">
        <v>20</v>
      </c>
      <c r="N22" s="11">
        <v>6.958333333333333E-2</v>
      </c>
      <c r="O22" s="11">
        <v>1.2500000000000001E-2</v>
      </c>
      <c r="P22" s="16">
        <v>52.585000000000001</v>
      </c>
      <c r="Q22" s="14">
        <v>0</v>
      </c>
      <c r="R22" s="17">
        <v>2.2833333333333337</v>
      </c>
      <c r="S22" s="17">
        <v>8</v>
      </c>
      <c r="T22" s="17">
        <v>3</v>
      </c>
      <c r="U22" s="2" t="s">
        <v>21</v>
      </c>
    </row>
    <row r="23" spans="2:21" ht="15.75">
      <c r="B23" s="5">
        <v>45827</v>
      </c>
      <c r="C23" s="11">
        <v>6.7000000000000004E-2</v>
      </c>
      <c r="D23" s="11">
        <v>0.8</v>
      </c>
      <c r="E23" s="3" t="s">
        <v>18</v>
      </c>
      <c r="F23" s="8">
        <v>4.13</v>
      </c>
      <c r="G23" s="21">
        <v>0.23</v>
      </c>
      <c r="H23" s="8">
        <v>52.489999999999995</v>
      </c>
      <c r="I23" s="9">
        <v>2.3049999999999997</v>
      </c>
      <c r="J23" s="9">
        <v>475.5</v>
      </c>
      <c r="K23" s="12">
        <v>25.6</v>
      </c>
      <c r="L23" s="2" t="s">
        <v>19</v>
      </c>
      <c r="M23" s="3" t="s">
        <v>20</v>
      </c>
      <c r="N23" s="11">
        <v>6.9166666666666654E-2</v>
      </c>
      <c r="O23" s="11">
        <v>1.2E-2</v>
      </c>
      <c r="P23" s="16">
        <v>52.449999999999996</v>
      </c>
      <c r="Q23" s="14">
        <v>0</v>
      </c>
      <c r="R23" s="17">
        <v>2.3166666666666669</v>
      </c>
      <c r="S23" s="17">
        <v>8</v>
      </c>
      <c r="T23" s="17">
        <v>3.1</v>
      </c>
      <c r="U23" s="2" t="s">
        <v>21</v>
      </c>
    </row>
    <row r="24" spans="2:21" ht="15.75">
      <c r="B24" s="5">
        <v>45828</v>
      </c>
      <c r="C24" s="11">
        <v>6.0999999999999999E-2</v>
      </c>
      <c r="D24" s="11">
        <v>0.81</v>
      </c>
      <c r="E24" s="3" t="s">
        <v>18</v>
      </c>
      <c r="F24" s="8">
        <v>4.17</v>
      </c>
      <c r="G24" s="21">
        <v>0.22</v>
      </c>
      <c r="H24" s="8">
        <v>52.6</v>
      </c>
      <c r="I24" s="9">
        <v>2.2650000000000001</v>
      </c>
      <c r="J24" s="9">
        <v>464.5</v>
      </c>
      <c r="K24" s="12">
        <v>24.7</v>
      </c>
      <c r="L24" s="2" t="s">
        <v>19</v>
      </c>
      <c r="M24" s="3" t="s">
        <v>22</v>
      </c>
      <c r="N24" s="11">
        <v>7.1846153846153837E-2</v>
      </c>
      <c r="O24" s="11">
        <v>1.2E-2</v>
      </c>
      <c r="P24" s="16">
        <v>52.49</v>
      </c>
      <c r="Q24" s="14">
        <v>0</v>
      </c>
      <c r="R24" s="17">
        <v>2.3230769230769233</v>
      </c>
      <c r="S24" s="17">
        <v>8</v>
      </c>
      <c r="T24" s="17">
        <v>2.7</v>
      </c>
      <c r="U24" s="2" t="s">
        <v>21</v>
      </c>
    </row>
    <row r="25" spans="2:21" ht="15.75">
      <c r="B25" s="5">
        <v>45829</v>
      </c>
      <c r="C25" s="3">
        <v>6.3E-2</v>
      </c>
      <c r="D25" s="11">
        <v>0.96</v>
      </c>
      <c r="E25" s="3" t="s">
        <v>18</v>
      </c>
      <c r="F25" s="8">
        <v>4.0199999999999996</v>
      </c>
      <c r="G25" s="21">
        <v>0.22</v>
      </c>
      <c r="H25" s="8">
        <v>52.594999999999999</v>
      </c>
      <c r="I25" s="9">
        <v>2.2599999999999998</v>
      </c>
      <c r="J25" s="9">
        <v>467</v>
      </c>
      <c r="K25" s="12">
        <v>24.2</v>
      </c>
      <c r="L25" s="2" t="s">
        <v>19</v>
      </c>
      <c r="M25" s="3" t="s">
        <v>20</v>
      </c>
      <c r="N25" s="11">
        <v>6.9583333333333344E-2</v>
      </c>
      <c r="O25" s="11">
        <v>1.2500000000000001E-2</v>
      </c>
      <c r="P25" s="16">
        <v>52.515000000000001</v>
      </c>
      <c r="Q25" s="14">
        <v>0</v>
      </c>
      <c r="R25" s="17">
        <v>2.2333333333333334</v>
      </c>
      <c r="S25" s="17">
        <v>8</v>
      </c>
      <c r="T25" s="17">
        <v>2.9</v>
      </c>
      <c r="U25" s="2" t="s">
        <v>21</v>
      </c>
    </row>
    <row r="26" spans="2:21" ht="15.75">
      <c r="B26" s="5">
        <v>45830</v>
      </c>
      <c r="C26" s="3">
        <v>6.5000000000000002E-2</v>
      </c>
      <c r="D26" s="11">
        <v>0.9</v>
      </c>
      <c r="E26" s="3" t="s">
        <v>18</v>
      </c>
      <c r="F26" s="8">
        <v>3.9550000000000001</v>
      </c>
      <c r="G26" s="21">
        <v>0.22</v>
      </c>
      <c r="H26" s="8">
        <v>52.575000000000003</v>
      </c>
      <c r="I26" s="9">
        <v>2.25</v>
      </c>
      <c r="J26" s="9">
        <v>468.5</v>
      </c>
      <c r="K26" s="12">
        <v>23.8</v>
      </c>
      <c r="L26" s="2" t="s">
        <v>19</v>
      </c>
      <c r="M26" s="3" t="s">
        <v>20</v>
      </c>
      <c r="N26" s="11">
        <v>6.7750000000000019E-2</v>
      </c>
      <c r="O26" s="11">
        <v>1.0999999999999999E-2</v>
      </c>
      <c r="P26" s="16">
        <v>52.730000000000004</v>
      </c>
      <c r="Q26" s="14">
        <v>0</v>
      </c>
      <c r="R26" s="17">
        <v>2.1250000000000004</v>
      </c>
      <c r="S26" s="17">
        <v>8</v>
      </c>
      <c r="T26" s="17">
        <v>3</v>
      </c>
      <c r="U26" s="2" t="s">
        <v>21</v>
      </c>
    </row>
    <row r="27" spans="2:21" ht="15.75">
      <c r="B27" s="5">
        <v>45831</v>
      </c>
      <c r="C27" s="3">
        <v>6.5000000000000002E-2</v>
      </c>
      <c r="D27" s="11">
        <v>0.8</v>
      </c>
      <c r="E27" s="3" t="s">
        <v>18</v>
      </c>
      <c r="F27" s="8">
        <v>4.2050000000000001</v>
      </c>
      <c r="G27" s="21">
        <v>0.22</v>
      </c>
      <c r="H27" s="8">
        <v>52.474999999999994</v>
      </c>
      <c r="I27" s="9">
        <v>2.2549999999999999</v>
      </c>
      <c r="J27" s="9">
        <v>459</v>
      </c>
      <c r="K27" s="12">
        <v>22.3</v>
      </c>
      <c r="L27" s="2" t="s">
        <v>19</v>
      </c>
      <c r="M27" s="3" t="s">
        <v>22</v>
      </c>
      <c r="N27" s="11">
        <v>6.9999999999999993E-2</v>
      </c>
      <c r="O27" s="11">
        <v>1.2E-2</v>
      </c>
      <c r="P27" s="16">
        <v>52.402500000000003</v>
      </c>
      <c r="Q27" s="14">
        <v>0</v>
      </c>
      <c r="R27" s="17">
        <v>2.3333333333333335</v>
      </c>
      <c r="S27" s="17">
        <v>8</v>
      </c>
      <c r="T27" s="17">
        <v>2.8</v>
      </c>
      <c r="U27" s="2" t="s">
        <v>21</v>
      </c>
    </row>
    <row r="28" spans="2:21" ht="15.75">
      <c r="B28" s="5">
        <v>45832</v>
      </c>
      <c r="C28" s="11">
        <v>6.5000000000000002E-2</v>
      </c>
      <c r="D28" s="11">
        <v>0.88</v>
      </c>
      <c r="E28" s="3" t="s">
        <v>18</v>
      </c>
      <c r="F28" s="8">
        <v>4.1850000000000005</v>
      </c>
      <c r="G28" s="21">
        <v>0.23</v>
      </c>
      <c r="H28" s="8">
        <v>52.525000000000006</v>
      </c>
      <c r="I28" s="9">
        <v>2.2000000000000002</v>
      </c>
      <c r="J28" s="9">
        <v>473</v>
      </c>
      <c r="K28" s="12">
        <v>26.5</v>
      </c>
      <c r="L28" s="2" t="s">
        <v>19</v>
      </c>
      <c r="M28" s="3" t="s">
        <v>22</v>
      </c>
      <c r="N28" s="11">
        <v>7.2307692307692281E-2</v>
      </c>
      <c r="O28" s="11">
        <v>1.2500000000000001E-2</v>
      </c>
      <c r="P28" s="16">
        <v>52.486666666666657</v>
      </c>
      <c r="Q28" s="14">
        <v>0</v>
      </c>
      <c r="R28" s="17">
        <v>2.3692307692307693</v>
      </c>
      <c r="S28" s="17">
        <v>8</v>
      </c>
      <c r="T28" s="17">
        <v>2.4</v>
      </c>
      <c r="U28" s="2" t="s">
        <v>21</v>
      </c>
    </row>
    <row r="29" spans="2:21" ht="15.75">
      <c r="B29" s="5">
        <v>45833</v>
      </c>
      <c r="C29" s="11">
        <v>6.5000000000000002E-2</v>
      </c>
      <c r="D29" s="11">
        <v>1.02</v>
      </c>
      <c r="E29" s="3" t="s">
        <v>18</v>
      </c>
      <c r="F29" s="8">
        <v>4.3049999999999997</v>
      </c>
      <c r="G29" s="21">
        <v>0.21000000000000002</v>
      </c>
      <c r="H29" s="8">
        <v>52.59</v>
      </c>
      <c r="I29" s="9">
        <v>2.0949999999999998</v>
      </c>
      <c r="J29" s="9">
        <v>431</v>
      </c>
      <c r="K29" s="12">
        <v>27.9</v>
      </c>
      <c r="L29" s="2" t="s">
        <v>19</v>
      </c>
      <c r="M29" s="4" t="s">
        <v>60</v>
      </c>
      <c r="N29" s="11">
        <v>7.0499999999999993E-2</v>
      </c>
      <c r="O29" s="11">
        <v>1.2E-2</v>
      </c>
      <c r="P29" s="16">
        <v>52.524999999999991</v>
      </c>
      <c r="Q29" s="14">
        <v>0</v>
      </c>
      <c r="R29" s="17">
        <v>2.3166666666666673</v>
      </c>
      <c r="S29" s="17">
        <v>8</v>
      </c>
      <c r="T29" s="17">
        <v>2.8</v>
      </c>
      <c r="U29" s="2" t="s">
        <v>21</v>
      </c>
    </row>
    <row r="30" spans="2:21" ht="15.75">
      <c r="B30" s="5">
        <v>45834</v>
      </c>
      <c r="C30" s="11">
        <v>6.5000000000000002E-2</v>
      </c>
      <c r="D30" s="11">
        <v>0.9</v>
      </c>
      <c r="E30" s="3" t="s">
        <v>18</v>
      </c>
      <c r="F30" s="8">
        <v>4.34</v>
      </c>
      <c r="G30" s="21">
        <v>0.22</v>
      </c>
      <c r="H30" s="8">
        <v>52.375</v>
      </c>
      <c r="I30" s="9">
        <v>2.1850000000000001</v>
      </c>
      <c r="J30" s="9">
        <v>439</v>
      </c>
      <c r="K30" s="12">
        <v>25.9</v>
      </c>
      <c r="L30" s="2" t="s">
        <v>19</v>
      </c>
      <c r="M30" s="3" t="s">
        <v>20</v>
      </c>
      <c r="N30" s="11">
        <v>7.1499999999999994E-2</v>
      </c>
      <c r="O30" s="11">
        <v>1.2E-2</v>
      </c>
      <c r="P30" s="16">
        <v>52.405000000000001</v>
      </c>
      <c r="Q30" s="14">
        <v>0</v>
      </c>
      <c r="R30" s="17">
        <v>2.2333333333333338</v>
      </c>
      <c r="S30" s="17">
        <v>8</v>
      </c>
      <c r="T30" s="17">
        <v>2.1</v>
      </c>
      <c r="U30" s="2" t="s">
        <v>21</v>
      </c>
    </row>
    <row r="31" spans="2:21" ht="15.75">
      <c r="B31" s="5">
        <v>45835</v>
      </c>
      <c r="C31" s="11">
        <v>6.5000000000000002E-2</v>
      </c>
      <c r="D31" s="11">
        <v>0.9</v>
      </c>
      <c r="E31" s="3" t="s">
        <v>18</v>
      </c>
      <c r="F31" s="8">
        <v>4.3499999999999996</v>
      </c>
      <c r="G31" s="21">
        <v>0.22</v>
      </c>
      <c r="H31" s="9">
        <v>52.495000000000005</v>
      </c>
      <c r="I31" s="9">
        <v>2.23</v>
      </c>
      <c r="J31" s="9">
        <v>458</v>
      </c>
      <c r="K31" s="12">
        <v>27.4</v>
      </c>
      <c r="L31" s="2" t="s">
        <v>19</v>
      </c>
      <c r="M31" s="3" t="s">
        <v>20</v>
      </c>
      <c r="N31" s="11">
        <v>7.0166666666666669E-2</v>
      </c>
      <c r="O31" s="11">
        <v>1.2500000000000001E-2</v>
      </c>
      <c r="P31" s="16">
        <v>52.39</v>
      </c>
      <c r="Q31" s="14">
        <v>0</v>
      </c>
      <c r="R31" s="17">
        <v>2.2833333333333332</v>
      </c>
      <c r="S31" s="17">
        <v>8</v>
      </c>
      <c r="T31" s="17">
        <v>2.4</v>
      </c>
      <c r="U31" s="2" t="s">
        <v>21</v>
      </c>
    </row>
    <row r="32" spans="2:21" ht="15.75">
      <c r="B32" s="5">
        <v>45836</v>
      </c>
      <c r="C32" s="11">
        <v>6.5000000000000002E-2</v>
      </c>
      <c r="D32" s="11">
        <v>0.9</v>
      </c>
      <c r="E32" s="3" t="s">
        <v>18</v>
      </c>
      <c r="F32" s="8">
        <v>4.125</v>
      </c>
      <c r="G32" s="21">
        <v>0.20500000000000002</v>
      </c>
      <c r="H32" s="8">
        <v>52.454999999999998</v>
      </c>
      <c r="I32" s="9">
        <v>2.1749999999999998</v>
      </c>
      <c r="J32" s="9">
        <v>452</v>
      </c>
      <c r="K32" s="12">
        <v>26.1</v>
      </c>
      <c r="L32" s="2" t="s">
        <v>19</v>
      </c>
      <c r="M32" s="3" t="s">
        <v>20</v>
      </c>
      <c r="N32" s="11">
        <v>6.9583333333333344E-2</v>
      </c>
      <c r="O32" s="11">
        <v>1.15E-2</v>
      </c>
      <c r="P32" s="16">
        <v>52.314999999999998</v>
      </c>
      <c r="Q32" s="14">
        <v>0</v>
      </c>
      <c r="R32" s="17">
        <v>2.2333333333333329</v>
      </c>
      <c r="S32" s="17">
        <v>8</v>
      </c>
      <c r="T32" s="17">
        <v>2.8</v>
      </c>
      <c r="U32" s="2" t="s">
        <v>21</v>
      </c>
    </row>
    <row r="33" spans="2:21" ht="15.75">
      <c r="B33" s="5">
        <v>45837</v>
      </c>
      <c r="C33" s="11">
        <v>6.5000000000000002E-2</v>
      </c>
      <c r="D33" s="11">
        <v>1.02</v>
      </c>
      <c r="E33" s="3" t="s">
        <v>18</v>
      </c>
      <c r="F33" s="8">
        <v>4.5250000000000004</v>
      </c>
      <c r="G33" s="21">
        <v>0.19500000000000001</v>
      </c>
      <c r="H33" s="8">
        <v>52.36</v>
      </c>
      <c r="I33" s="9">
        <v>2.1349999999999998</v>
      </c>
      <c r="J33" s="9">
        <v>444.5</v>
      </c>
      <c r="K33" s="12">
        <v>24.9</v>
      </c>
      <c r="L33" s="2" t="s">
        <v>19</v>
      </c>
      <c r="M33" s="3" t="s">
        <v>20</v>
      </c>
      <c r="N33" s="11">
        <v>7.0090909090909079E-2</v>
      </c>
      <c r="O33" s="11">
        <v>1.0999999999999999E-2</v>
      </c>
      <c r="P33" s="16">
        <v>52.296666666666674</v>
      </c>
      <c r="Q33" s="14">
        <v>0</v>
      </c>
      <c r="R33" s="17">
        <v>2.441666666666666</v>
      </c>
      <c r="S33" s="17">
        <v>8</v>
      </c>
      <c r="T33" s="17">
        <v>4.0999999999999996</v>
      </c>
      <c r="U33" s="2" t="s">
        <v>21</v>
      </c>
    </row>
    <row r="34" spans="2:21" ht="15.75">
      <c r="B34" s="5">
        <v>45838</v>
      </c>
      <c r="C34" s="11">
        <v>6.5000000000000002E-2</v>
      </c>
      <c r="D34" s="11">
        <v>1.1000000000000001</v>
      </c>
      <c r="E34" s="3" t="s">
        <v>18</v>
      </c>
      <c r="F34" s="8">
        <v>4.415</v>
      </c>
      <c r="G34" s="21">
        <v>0.22</v>
      </c>
      <c r="H34" s="8">
        <v>52.204999999999998</v>
      </c>
      <c r="I34" s="9">
        <v>2.23</v>
      </c>
      <c r="J34" s="9">
        <v>448</v>
      </c>
      <c r="K34" s="16">
        <v>22.2</v>
      </c>
      <c r="L34" s="2" t="s">
        <v>19</v>
      </c>
      <c r="M34" s="3" t="s">
        <v>20</v>
      </c>
      <c r="N34" s="11">
        <v>6.9000000000000006E-2</v>
      </c>
      <c r="O34" s="11">
        <v>1.2500000000000001E-2</v>
      </c>
      <c r="P34" s="16">
        <v>52.064999999999998</v>
      </c>
      <c r="Q34" s="14">
        <v>0</v>
      </c>
      <c r="R34" s="17">
        <v>2.3666666666666667</v>
      </c>
      <c r="S34" s="17">
        <v>8</v>
      </c>
      <c r="T34" s="17">
        <v>3.3</v>
      </c>
      <c r="U34" s="2" t="s">
        <v>21</v>
      </c>
    </row>
    <row r="35" spans="2:21">
      <c r="F35" s="10"/>
      <c r="G35" s="10"/>
      <c r="H35" s="10"/>
      <c r="I35" s="10"/>
      <c r="J35" s="10"/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6">
    <mergeCell ref="M3:U3"/>
    <mergeCell ref="B37:D37"/>
    <mergeCell ref="B3:B4"/>
    <mergeCell ref="C3:C4"/>
    <mergeCell ref="D3:D4"/>
    <mergeCell ref="E3:L3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BB62-AB28-4731-933F-4A39F26219AA}">
  <sheetPr codeName="Sheet7"/>
  <dimension ref="B3:U41"/>
  <sheetViews>
    <sheetView topLeftCell="E21" workbookViewId="0">
      <selection activeCell="D35" sqref="D35"/>
    </sheetView>
  </sheetViews>
  <sheetFormatPr defaultRowHeight="15"/>
  <cols>
    <col min="2" max="4" width="15.7109375" style="4" customWidth="1"/>
    <col min="5" max="5" width="19.28515625" style="4" customWidth="1"/>
    <col min="6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45839</v>
      </c>
      <c r="C5" s="3">
        <v>6.5000000000000002E-2</v>
      </c>
      <c r="D5" s="11">
        <v>0.95</v>
      </c>
      <c r="E5" s="3" t="s">
        <v>18</v>
      </c>
      <c r="F5" s="8">
        <v>4.0549999999999997</v>
      </c>
      <c r="G5" s="21">
        <v>0.22500000000000001</v>
      </c>
      <c r="H5" s="8">
        <v>52.515000000000001</v>
      </c>
      <c r="I5" s="8">
        <v>2.1399999999999997</v>
      </c>
      <c r="J5" s="8">
        <v>420.5</v>
      </c>
      <c r="K5" s="12">
        <v>22.8</v>
      </c>
      <c r="L5" s="2" t="s">
        <v>19</v>
      </c>
      <c r="M5" s="3" t="s">
        <v>22</v>
      </c>
      <c r="N5" s="20">
        <v>6.9416666666666668E-2</v>
      </c>
      <c r="O5" s="20">
        <v>1.2E-2</v>
      </c>
      <c r="P5" s="13">
        <v>52.365000000000002</v>
      </c>
      <c r="Q5" s="14">
        <v>0</v>
      </c>
      <c r="R5" s="15">
        <v>2.2000000000000002</v>
      </c>
      <c r="S5" s="17">
        <v>8</v>
      </c>
      <c r="T5" s="17">
        <v>3.1</v>
      </c>
      <c r="U5" s="2" t="s">
        <v>21</v>
      </c>
    </row>
    <row r="6" spans="2:21">
      <c r="B6" s="5">
        <v>45840</v>
      </c>
      <c r="C6" s="3">
        <v>6.5000000000000002E-2</v>
      </c>
      <c r="D6" s="11">
        <v>0.9</v>
      </c>
      <c r="E6" s="3" t="s">
        <v>18</v>
      </c>
      <c r="F6" s="8">
        <v>4.335</v>
      </c>
      <c r="G6" s="21">
        <v>0.22500000000000001</v>
      </c>
      <c r="H6" s="8">
        <v>52.49</v>
      </c>
      <c r="I6" s="9">
        <v>2.23</v>
      </c>
      <c r="J6" s="9">
        <v>447.5</v>
      </c>
      <c r="K6" s="12">
        <v>28.4</v>
      </c>
      <c r="L6" s="2" t="s">
        <v>19</v>
      </c>
      <c r="M6" s="3" t="s">
        <v>55</v>
      </c>
      <c r="N6" s="11">
        <v>7.0249999999999993E-2</v>
      </c>
      <c r="O6" s="11">
        <v>1.2E-2</v>
      </c>
      <c r="P6" s="16">
        <v>52.419999999999995</v>
      </c>
      <c r="Q6" s="3">
        <v>0</v>
      </c>
      <c r="R6" s="17">
        <v>2.2666666666666666</v>
      </c>
      <c r="S6" s="17">
        <v>8</v>
      </c>
      <c r="T6" s="17">
        <v>2.7</v>
      </c>
      <c r="U6" s="2" t="s">
        <v>21</v>
      </c>
    </row>
    <row r="7" spans="2:21">
      <c r="B7" s="5">
        <v>45841</v>
      </c>
      <c r="C7" s="11">
        <v>6.5000000000000002E-2</v>
      </c>
      <c r="D7" s="11">
        <v>0.9</v>
      </c>
      <c r="E7" s="3" t="s">
        <v>18</v>
      </c>
      <c r="F7" s="8">
        <v>4.3049999999999997</v>
      </c>
      <c r="G7" s="21">
        <v>0.20500000000000002</v>
      </c>
      <c r="H7" s="8">
        <v>52.545000000000002</v>
      </c>
      <c r="I7" s="9">
        <v>2.2249999999999996</v>
      </c>
      <c r="J7" s="9">
        <v>456</v>
      </c>
      <c r="K7" s="12">
        <v>23.6</v>
      </c>
      <c r="L7" s="2" t="s">
        <v>19</v>
      </c>
      <c r="M7" s="3" t="s">
        <v>55</v>
      </c>
      <c r="N7" s="11">
        <v>6.8846153846153849E-2</v>
      </c>
      <c r="O7" s="11">
        <v>1.0999999999999999E-2</v>
      </c>
      <c r="P7" s="16">
        <v>52.382500000000007</v>
      </c>
      <c r="Q7" s="3">
        <v>0</v>
      </c>
      <c r="R7" s="17">
        <v>2.1384615384615389</v>
      </c>
      <c r="S7" s="17">
        <v>8</v>
      </c>
      <c r="T7" s="17">
        <v>3.2</v>
      </c>
      <c r="U7" s="2" t="s">
        <v>21</v>
      </c>
    </row>
    <row r="8" spans="2:21">
      <c r="B8" s="5">
        <v>45842</v>
      </c>
      <c r="C8" s="11">
        <v>6.5000000000000002E-2</v>
      </c>
      <c r="D8" s="11">
        <v>0.80833333299999999</v>
      </c>
      <c r="E8" s="3" t="s">
        <v>18</v>
      </c>
      <c r="F8" s="8">
        <v>4.21</v>
      </c>
      <c r="G8" s="21">
        <v>0.20500000000000002</v>
      </c>
      <c r="H8" s="8">
        <v>52.56</v>
      </c>
      <c r="I8" s="9">
        <v>2.0999999999999996</v>
      </c>
      <c r="J8" s="9">
        <v>423</v>
      </c>
      <c r="K8" s="12">
        <v>26.4</v>
      </c>
      <c r="L8" s="2" t="s">
        <v>19</v>
      </c>
      <c r="M8" s="3" t="s">
        <v>55</v>
      </c>
      <c r="N8" s="11">
        <v>6.8583333333333343E-2</v>
      </c>
      <c r="O8" s="11">
        <v>1.0999999999999999E-2</v>
      </c>
      <c r="P8" s="16">
        <v>52.527500000000003</v>
      </c>
      <c r="Q8" s="3">
        <v>0</v>
      </c>
      <c r="R8" s="17">
        <v>2.1333333333333333</v>
      </c>
      <c r="S8" s="17">
        <v>8</v>
      </c>
      <c r="T8" s="17">
        <v>1.8</v>
      </c>
      <c r="U8" s="2" t="s">
        <v>21</v>
      </c>
    </row>
    <row r="9" spans="2:21">
      <c r="B9" s="5">
        <v>45843</v>
      </c>
      <c r="C9" s="11">
        <v>6.5000000000000002E-2</v>
      </c>
      <c r="D9" s="11">
        <v>0.8</v>
      </c>
      <c r="E9" s="3" t="s">
        <v>18</v>
      </c>
      <c r="F9" s="8">
        <v>4.3899999999999997</v>
      </c>
      <c r="G9" s="21">
        <v>0.21</v>
      </c>
      <c r="H9" s="8">
        <v>52.44</v>
      </c>
      <c r="I9" s="9">
        <v>2.085</v>
      </c>
      <c r="J9" s="9">
        <v>417.5</v>
      </c>
      <c r="K9" s="12">
        <v>22.7</v>
      </c>
      <c r="L9" s="2" t="s">
        <v>19</v>
      </c>
      <c r="M9" s="3" t="s">
        <v>31</v>
      </c>
      <c r="N9" s="11">
        <v>7.4153846153846167E-2</v>
      </c>
      <c r="O9" s="11">
        <v>1.0999999999999999E-2</v>
      </c>
      <c r="P9" s="16">
        <v>52.56</v>
      </c>
      <c r="Q9" s="3">
        <v>0</v>
      </c>
      <c r="R9" s="17">
        <v>2.1461538461538465</v>
      </c>
      <c r="S9" s="17">
        <v>8</v>
      </c>
      <c r="T9" s="17">
        <v>2.4</v>
      </c>
      <c r="U9" s="2" t="s">
        <v>21</v>
      </c>
    </row>
    <row r="10" spans="2:21">
      <c r="B10" s="5">
        <v>45844</v>
      </c>
      <c r="C10" s="11">
        <v>6.6000000000000003E-2</v>
      </c>
      <c r="D10" s="11">
        <v>0.85</v>
      </c>
      <c r="E10" s="3" t="s">
        <v>18</v>
      </c>
      <c r="F10" s="8">
        <v>4.5350000000000001</v>
      </c>
      <c r="G10" s="21">
        <v>0.23</v>
      </c>
      <c r="H10" s="8">
        <v>52.465000000000003</v>
      </c>
      <c r="I10" s="9">
        <v>2.1550000000000002</v>
      </c>
      <c r="J10" s="9">
        <v>429.5</v>
      </c>
      <c r="K10" s="12">
        <v>26</v>
      </c>
      <c r="L10" s="2" t="s">
        <v>19</v>
      </c>
      <c r="M10" s="3" t="s">
        <v>22</v>
      </c>
      <c r="N10" s="11">
        <v>7.1083333333333332E-2</v>
      </c>
      <c r="O10" s="11">
        <v>1.2500000000000001E-2</v>
      </c>
      <c r="P10" s="16">
        <v>52.433333333333337</v>
      </c>
      <c r="Q10" s="3">
        <v>0</v>
      </c>
      <c r="R10" s="17">
        <v>2.3250000000000002</v>
      </c>
      <c r="S10" s="17">
        <v>8</v>
      </c>
      <c r="T10" s="17">
        <v>3</v>
      </c>
      <c r="U10" s="2" t="s">
        <v>21</v>
      </c>
    </row>
    <row r="11" spans="2:21">
      <c r="B11" s="5">
        <v>45845</v>
      </c>
      <c r="C11" s="3">
        <v>6.7000000000000004E-2</v>
      </c>
      <c r="D11" s="11">
        <v>0.93</v>
      </c>
      <c r="E11" s="3" t="s">
        <v>18</v>
      </c>
      <c r="F11" s="8">
        <v>4.6899999999999995</v>
      </c>
      <c r="G11" s="21">
        <v>0.22</v>
      </c>
      <c r="H11" s="8">
        <v>52.375</v>
      </c>
      <c r="I11" s="9">
        <v>2.1399999999999997</v>
      </c>
      <c r="J11" s="9">
        <v>439.5</v>
      </c>
      <c r="K11" s="12">
        <v>31.3</v>
      </c>
      <c r="L11" s="2" t="s">
        <v>19</v>
      </c>
      <c r="M11" s="3" t="s">
        <v>55</v>
      </c>
      <c r="N11" s="11">
        <v>7.0999999999999994E-2</v>
      </c>
      <c r="O11" s="11">
        <v>1.3000000000000001E-2</v>
      </c>
      <c r="P11" s="16">
        <v>52.067500000000003</v>
      </c>
      <c r="Q11" s="3">
        <v>0</v>
      </c>
      <c r="R11" s="17">
        <v>2.2399999999999998</v>
      </c>
      <c r="S11" s="17">
        <v>8</v>
      </c>
      <c r="T11" s="17">
        <v>2.4</v>
      </c>
      <c r="U11" s="2" t="s">
        <v>21</v>
      </c>
    </row>
    <row r="12" spans="2:21">
      <c r="B12" s="5">
        <v>45846</v>
      </c>
      <c r="C12" s="11">
        <v>6.7000000000000004E-2</v>
      </c>
      <c r="D12" s="11">
        <v>0.88</v>
      </c>
      <c r="E12" s="3" t="s">
        <v>18</v>
      </c>
      <c r="F12" s="8">
        <v>4.3100000000000005</v>
      </c>
      <c r="G12" s="21">
        <v>0.21500000000000002</v>
      </c>
      <c r="H12" s="8">
        <v>52.57</v>
      </c>
      <c r="I12" s="9">
        <v>2.1850000000000001</v>
      </c>
      <c r="J12" s="9">
        <v>447.5</v>
      </c>
      <c r="K12" s="12">
        <v>21.8</v>
      </c>
      <c r="L12" s="2" t="s">
        <v>19</v>
      </c>
      <c r="M12" s="3" t="s">
        <v>22</v>
      </c>
      <c r="N12" s="11">
        <v>7.4615384615384625E-2</v>
      </c>
      <c r="O12" s="11">
        <v>1.2E-2</v>
      </c>
      <c r="P12" s="16">
        <v>52.69</v>
      </c>
      <c r="Q12" s="3">
        <v>0</v>
      </c>
      <c r="R12" s="17">
        <v>2.1461538461538465</v>
      </c>
      <c r="S12" s="17">
        <v>8</v>
      </c>
      <c r="T12" s="17">
        <v>2.2000000000000002</v>
      </c>
      <c r="U12" s="2" t="s">
        <v>21</v>
      </c>
    </row>
    <row r="13" spans="2:21">
      <c r="B13" s="5">
        <v>45847</v>
      </c>
      <c r="C13" s="11">
        <v>6.7000000000000004E-2</v>
      </c>
      <c r="D13" s="11">
        <v>0.87</v>
      </c>
      <c r="E13" s="3" t="s">
        <v>18</v>
      </c>
      <c r="F13" s="8">
        <v>4.42</v>
      </c>
      <c r="G13" s="21">
        <v>0.22</v>
      </c>
      <c r="H13" s="8">
        <v>52.5</v>
      </c>
      <c r="I13" s="9">
        <v>2.1550000000000002</v>
      </c>
      <c r="J13" s="9">
        <v>433</v>
      </c>
      <c r="K13" s="12">
        <v>18.8</v>
      </c>
      <c r="L13" s="2" t="s">
        <v>19</v>
      </c>
      <c r="M13" s="3" t="s">
        <v>55</v>
      </c>
      <c r="N13" s="11">
        <v>7.0666666666666669E-2</v>
      </c>
      <c r="O13" s="11">
        <v>1.2500000000000001E-2</v>
      </c>
      <c r="P13" s="16">
        <v>52.574999999999996</v>
      </c>
      <c r="Q13" s="3">
        <v>0</v>
      </c>
      <c r="R13" s="17">
        <v>2.1166666666666667</v>
      </c>
      <c r="S13" s="17">
        <v>8</v>
      </c>
      <c r="T13" s="17">
        <v>2.5</v>
      </c>
      <c r="U13" s="2" t="s">
        <v>21</v>
      </c>
    </row>
    <row r="14" spans="2:21">
      <c r="B14" s="5">
        <v>45848</v>
      </c>
      <c r="C14" s="11">
        <v>6.7000000000000004E-2</v>
      </c>
      <c r="D14" s="11">
        <v>0.82</v>
      </c>
      <c r="E14" s="3" t="s">
        <v>18</v>
      </c>
      <c r="F14" s="8">
        <v>4.3900000000000006</v>
      </c>
      <c r="G14" s="21">
        <v>0.22</v>
      </c>
      <c r="H14" s="8">
        <v>52.685000000000002</v>
      </c>
      <c r="I14" s="9">
        <v>2.145</v>
      </c>
      <c r="J14" s="9">
        <v>432</v>
      </c>
      <c r="K14" s="12">
        <v>24.3</v>
      </c>
      <c r="L14" s="2" t="s">
        <v>19</v>
      </c>
      <c r="M14" s="3" t="s">
        <v>55</v>
      </c>
      <c r="N14" s="11">
        <v>7.1246153846153834E-2</v>
      </c>
      <c r="O14" s="11">
        <v>1.0999999999999999E-2</v>
      </c>
      <c r="P14" s="16">
        <v>52.629999999999995</v>
      </c>
      <c r="Q14" s="3">
        <v>0</v>
      </c>
      <c r="R14" s="17">
        <v>2.0615384615384618</v>
      </c>
      <c r="S14" s="17">
        <v>8</v>
      </c>
      <c r="T14" s="17">
        <v>2.5</v>
      </c>
      <c r="U14" s="2" t="s">
        <v>21</v>
      </c>
    </row>
    <row r="15" spans="2:21">
      <c r="B15" s="5">
        <v>45849</v>
      </c>
      <c r="C15" s="11">
        <v>6.7000000000000004E-2</v>
      </c>
      <c r="D15" s="11">
        <v>0.8</v>
      </c>
      <c r="E15" s="3" t="s">
        <v>18</v>
      </c>
      <c r="F15" s="8">
        <v>4.2699999999999996</v>
      </c>
      <c r="G15" s="21">
        <v>0.23</v>
      </c>
      <c r="H15" s="8">
        <v>52.39</v>
      </c>
      <c r="I15" s="9">
        <v>2.2350000000000003</v>
      </c>
      <c r="J15" s="9">
        <v>438.5</v>
      </c>
      <c r="K15" s="12">
        <v>29</v>
      </c>
      <c r="L15" s="2" t="s">
        <v>19</v>
      </c>
      <c r="M15" s="3" t="s">
        <v>55</v>
      </c>
      <c r="N15" s="11">
        <v>6.9500000000000006E-2</v>
      </c>
      <c r="O15" s="11">
        <v>1.2500000000000001E-2</v>
      </c>
      <c r="P15" s="16">
        <v>52.344999999999999</v>
      </c>
      <c r="Q15" s="3">
        <v>0</v>
      </c>
      <c r="R15" s="17">
        <v>2.0272727272727278</v>
      </c>
      <c r="S15" s="17">
        <v>8</v>
      </c>
      <c r="T15" s="17">
        <v>2.4</v>
      </c>
      <c r="U15" s="2" t="s">
        <v>21</v>
      </c>
    </row>
    <row r="16" spans="2:21">
      <c r="B16" s="5">
        <v>45850</v>
      </c>
      <c r="C16" s="11">
        <v>6.7000000000000004E-2</v>
      </c>
      <c r="D16" s="11">
        <v>0.74</v>
      </c>
      <c r="E16" s="3" t="s">
        <v>18</v>
      </c>
      <c r="F16" s="8">
        <v>4.2</v>
      </c>
      <c r="G16" s="21">
        <v>0.23499999999999999</v>
      </c>
      <c r="H16" s="8">
        <v>52.519999999999996</v>
      </c>
      <c r="I16" s="9">
        <v>2.2400000000000002</v>
      </c>
      <c r="J16" s="9">
        <v>439.5</v>
      </c>
      <c r="K16" s="4">
        <v>26.9</v>
      </c>
      <c r="L16" s="2" t="s">
        <v>19</v>
      </c>
      <c r="M16" s="3" t="s">
        <v>55</v>
      </c>
      <c r="N16" s="11">
        <v>7.091666666666667E-2</v>
      </c>
      <c r="O16" s="11">
        <v>1.2E-2</v>
      </c>
      <c r="P16" s="16">
        <v>52.443333333333328</v>
      </c>
      <c r="Q16" s="3">
        <v>0</v>
      </c>
      <c r="R16" s="17">
        <v>2.041666666666667</v>
      </c>
      <c r="S16" s="17">
        <v>8</v>
      </c>
      <c r="T16" s="17">
        <v>2.6</v>
      </c>
      <c r="U16" s="2" t="s">
        <v>21</v>
      </c>
    </row>
    <row r="17" spans="2:21">
      <c r="B17" s="5">
        <v>45851</v>
      </c>
      <c r="C17" s="11">
        <v>6.7000000000000004E-2</v>
      </c>
      <c r="D17" s="11">
        <v>0.7</v>
      </c>
      <c r="E17" s="3" t="s">
        <v>18</v>
      </c>
      <c r="F17" s="8">
        <v>4.2699999999999996</v>
      </c>
      <c r="G17" s="21">
        <v>0.21500000000000002</v>
      </c>
      <c r="H17" s="8">
        <v>52.629999999999995</v>
      </c>
      <c r="I17" s="9">
        <v>2.2599999999999998</v>
      </c>
      <c r="J17" s="9">
        <v>458.5</v>
      </c>
      <c r="K17" s="12">
        <v>30.2</v>
      </c>
      <c r="L17" s="2" t="s">
        <v>19</v>
      </c>
      <c r="M17" s="3" t="s">
        <v>22</v>
      </c>
      <c r="N17" s="11">
        <v>7.223076923076921E-2</v>
      </c>
      <c r="O17" s="11">
        <v>1.2500000000000001E-2</v>
      </c>
      <c r="P17" s="16">
        <v>52.613333333333337</v>
      </c>
      <c r="Q17" s="3">
        <v>0</v>
      </c>
      <c r="R17" s="17">
        <v>2.0846153846153852</v>
      </c>
      <c r="S17" s="17">
        <v>8</v>
      </c>
      <c r="T17" s="17">
        <v>2.8</v>
      </c>
      <c r="U17" s="2" t="s">
        <v>21</v>
      </c>
    </row>
    <row r="18" spans="2:21">
      <c r="B18" s="5">
        <v>45852</v>
      </c>
      <c r="C18" s="3">
        <v>6.7000000000000004E-2</v>
      </c>
      <c r="D18" s="11">
        <v>0.7</v>
      </c>
      <c r="E18" s="3" t="s">
        <v>18</v>
      </c>
      <c r="F18" s="8">
        <v>4.4000000000000004</v>
      </c>
      <c r="G18" s="21">
        <v>0.21500000000000002</v>
      </c>
      <c r="H18" s="8">
        <v>52.384999999999998</v>
      </c>
      <c r="I18" s="9">
        <v>2.2450000000000001</v>
      </c>
      <c r="J18" s="9">
        <v>462.5</v>
      </c>
      <c r="K18" s="12">
        <v>23.2</v>
      </c>
      <c r="L18" s="2" t="s">
        <v>19</v>
      </c>
      <c r="M18" s="3" t="s">
        <v>55</v>
      </c>
      <c r="N18" s="11">
        <v>8.0999999999999989E-2</v>
      </c>
      <c r="O18" s="11">
        <v>1.2E-2</v>
      </c>
      <c r="P18" s="16">
        <v>52.398000000000003</v>
      </c>
      <c r="Q18" s="3">
        <v>0</v>
      </c>
      <c r="R18" s="17">
        <v>2.3285714285714283</v>
      </c>
      <c r="S18" s="17">
        <v>8</v>
      </c>
      <c r="T18" s="17">
        <v>3.3</v>
      </c>
      <c r="U18" s="2" t="s">
        <v>21</v>
      </c>
    </row>
    <row r="19" spans="2:21">
      <c r="B19" s="5">
        <v>45853</v>
      </c>
      <c r="C19" s="11">
        <v>6.7000000000000004E-2</v>
      </c>
      <c r="D19" s="11">
        <v>0.8</v>
      </c>
      <c r="E19" s="3" t="s">
        <v>18</v>
      </c>
      <c r="F19" s="8">
        <v>4.47</v>
      </c>
      <c r="G19" s="21">
        <v>0.21</v>
      </c>
      <c r="H19" s="8">
        <v>52.2</v>
      </c>
      <c r="I19" s="9">
        <v>2.19</v>
      </c>
      <c r="J19" s="9">
        <v>436</v>
      </c>
      <c r="K19" s="12">
        <v>20</v>
      </c>
      <c r="L19" s="2" t="s">
        <v>19</v>
      </c>
      <c r="M19" s="3" t="s">
        <v>61</v>
      </c>
      <c r="N19" s="11">
        <v>7.5999999999999998E-2</v>
      </c>
      <c r="O19" s="11">
        <v>1.0999999999999999E-2</v>
      </c>
      <c r="P19" s="16">
        <v>52.31</v>
      </c>
      <c r="Q19" s="3">
        <v>0</v>
      </c>
      <c r="R19" s="17">
        <v>2.2999999999999998</v>
      </c>
      <c r="S19" s="17">
        <v>8</v>
      </c>
      <c r="T19" s="17">
        <v>2.7</v>
      </c>
      <c r="U19" s="2" t="s">
        <v>21</v>
      </c>
    </row>
    <row r="20" spans="2:21">
      <c r="B20" s="5">
        <v>45854</v>
      </c>
      <c r="C20" s="3">
        <v>6.7000000000000004E-2</v>
      </c>
      <c r="D20" s="11">
        <v>1.03</v>
      </c>
      <c r="E20" s="3" t="s">
        <v>18</v>
      </c>
      <c r="F20" s="8">
        <v>3.71</v>
      </c>
      <c r="G20" s="21">
        <v>0.22</v>
      </c>
      <c r="H20" s="8">
        <v>52.45</v>
      </c>
      <c r="I20" s="9">
        <v>2.2000000000000002</v>
      </c>
      <c r="J20" s="9">
        <v>449</v>
      </c>
      <c r="K20" s="12">
        <v>19.600000000000001</v>
      </c>
      <c r="L20" s="2" t="s">
        <v>19</v>
      </c>
      <c r="M20" s="3" t="s">
        <v>20</v>
      </c>
      <c r="N20" s="11">
        <v>5.8249999999999996E-2</v>
      </c>
      <c r="O20" s="11">
        <v>1.2E-2</v>
      </c>
      <c r="P20" s="16">
        <v>52.08</v>
      </c>
      <c r="Q20" s="3">
        <v>0</v>
      </c>
      <c r="R20" s="17">
        <v>2.0249999999999999</v>
      </c>
      <c r="S20" s="17">
        <v>8</v>
      </c>
      <c r="T20" s="17">
        <v>2.7</v>
      </c>
      <c r="U20" s="2" t="s">
        <v>21</v>
      </c>
    </row>
    <row r="21" spans="2:21">
      <c r="B21" s="5">
        <v>45855</v>
      </c>
      <c r="C21" s="11">
        <v>6.7000000000000004E-2</v>
      </c>
      <c r="D21" s="11">
        <v>0.75</v>
      </c>
      <c r="E21" s="3" t="s">
        <v>18</v>
      </c>
      <c r="F21" s="8">
        <v>3.58</v>
      </c>
      <c r="G21" s="21">
        <v>0.22</v>
      </c>
      <c r="H21" s="8">
        <v>52.445</v>
      </c>
      <c r="I21" s="9">
        <v>2.0649999999999999</v>
      </c>
      <c r="J21" s="9">
        <v>426.5</v>
      </c>
      <c r="K21" s="4">
        <v>16.5</v>
      </c>
      <c r="L21" s="2" t="s">
        <v>19</v>
      </c>
      <c r="M21" s="3" t="s">
        <v>22</v>
      </c>
      <c r="N21" s="11">
        <v>7.6615384615384627E-2</v>
      </c>
      <c r="O21" s="11">
        <v>1.0999999999999999E-2</v>
      </c>
      <c r="P21" s="16">
        <v>52.49</v>
      </c>
      <c r="Q21" s="3">
        <v>0</v>
      </c>
      <c r="R21" s="17">
        <v>1.9769230769230772</v>
      </c>
      <c r="S21" s="17">
        <v>8</v>
      </c>
      <c r="T21" s="17">
        <v>1.6</v>
      </c>
      <c r="U21" s="2" t="s">
        <v>21</v>
      </c>
    </row>
    <row r="22" spans="2:21">
      <c r="B22" s="5">
        <v>45856</v>
      </c>
      <c r="C22" s="11">
        <v>6.7000000000000004E-2</v>
      </c>
      <c r="D22" s="11">
        <v>0.66</v>
      </c>
      <c r="E22" s="3" t="s">
        <v>62</v>
      </c>
      <c r="F22" s="8">
        <v>3.94</v>
      </c>
      <c r="G22" s="21">
        <v>0.22666666666666668</v>
      </c>
      <c r="H22" s="8">
        <v>52.466666666666669</v>
      </c>
      <c r="I22" s="8">
        <v>2.2833333333333332</v>
      </c>
      <c r="J22" s="9">
        <v>460.33333333333331</v>
      </c>
      <c r="K22" s="12">
        <v>22.5</v>
      </c>
      <c r="L22" s="2" t="s">
        <v>19</v>
      </c>
      <c r="M22" s="3" t="s">
        <v>22</v>
      </c>
      <c r="N22" s="11">
        <v>6.8000000000000005E-2</v>
      </c>
      <c r="O22" s="11">
        <v>1.3999999999999999E-2</v>
      </c>
      <c r="P22" s="16">
        <v>52.592500000000001</v>
      </c>
      <c r="Q22" s="3">
        <v>0</v>
      </c>
      <c r="R22" s="17">
        <v>2.0416666666666674</v>
      </c>
      <c r="S22" s="17">
        <v>8</v>
      </c>
      <c r="T22" s="17">
        <v>2</v>
      </c>
      <c r="U22" s="2" t="s">
        <v>21</v>
      </c>
    </row>
    <row r="23" spans="2:21">
      <c r="B23" s="5">
        <v>45857</v>
      </c>
      <c r="C23" s="11">
        <v>6.7000000000000004E-2</v>
      </c>
      <c r="D23" s="11">
        <v>0.65</v>
      </c>
      <c r="E23" s="3" t="s">
        <v>18</v>
      </c>
      <c r="F23" s="8">
        <v>4.0350000000000001</v>
      </c>
      <c r="G23" s="21">
        <v>0.22500000000000001</v>
      </c>
      <c r="H23" s="8">
        <v>52.58</v>
      </c>
      <c r="I23" s="9">
        <v>2.2650000000000001</v>
      </c>
      <c r="J23" s="9">
        <v>455.5</v>
      </c>
      <c r="K23" s="12">
        <v>21.7</v>
      </c>
      <c r="L23" s="2" t="s">
        <v>19</v>
      </c>
      <c r="M23" s="3" t="s">
        <v>20</v>
      </c>
      <c r="N23" s="11">
        <v>6.8166666666666667E-2</v>
      </c>
      <c r="O23" s="11">
        <v>1.3000000000000001E-2</v>
      </c>
      <c r="P23" s="16">
        <v>52.54</v>
      </c>
      <c r="Q23" s="3">
        <v>0</v>
      </c>
      <c r="R23" s="17">
        <v>2.25</v>
      </c>
      <c r="S23" s="17">
        <v>8</v>
      </c>
      <c r="T23" s="17">
        <v>2.2999999999999998</v>
      </c>
      <c r="U23" s="2" t="s">
        <v>21</v>
      </c>
    </row>
    <row r="24" spans="2:21">
      <c r="B24" s="5">
        <v>45858</v>
      </c>
      <c r="C24" s="11">
        <v>6.7000000000000004E-2</v>
      </c>
      <c r="D24" s="11">
        <v>0.7</v>
      </c>
      <c r="E24" s="3" t="s">
        <v>18</v>
      </c>
      <c r="F24" s="8">
        <v>4.2650000000000006</v>
      </c>
      <c r="G24" s="21">
        <v>0.22</v>
      </c>
      <c r="H24" s="8">
        <v>52.64</v>
      </c>
      <c r="I24" s="9">
        <v>2.2949999999999999</v>
      </c>
      <c r="J24" s="9">
        <v>465</v>
      </c>
      <c r="K24" s="12">
        <v>22.2</v>
      </c>
      <c r="L24" s="2" t="s">
        <v>19</v>
      </c>
      <c r="M24" s="3" t="s">
        <v>22</v>
      </c>
      <c r="N24" s="11">
        <v>6.8615384615384606E-2</v>
      </c>
      <c r="O24" s="11">
        <v>1.2500000000000001E-2</v>
      </c>
      <c r="P24" s="16">
        <v>52.813333333333333</v>
      </c>
      <c r="Q24" s="3">
        <v>0</v>
      </c>
      <c r="R24" s="17">
        <v>2.2230769230769232</v>
      </c>
      <c r="S24" s="17">
        <v>8</v>
      </c>
      <c r="T24" s="17">
        <v>2</v>
      </c>
      <c r="U24" s="2" t="s">
        <v>21</v>
      </c>
    </row>
    <row r="25" spans="2:21">
      <c r="B25" s="5">
        <v>45859</v>
      </c>
      <c r="C25" s="11">
        <v>6.7000000000000004E-2</v>
      </c>
      <c r="D25" s="11">
        <v>0.7</v>
      </c>
      <c r="E25" s="3" t="s">
        <v>63</v>
      </c>
      <c r="F25" s="8">
        <v>4.57</v>
      </c>
      <c r="G25" s="21">
        <v>0.29399999999999998</v>
      </c>
      <c r="H25" s="8">
        <v>52.537999999999997</v>
      </c>
      <c r="I25" s="9">
        <v>2.1</v>
      </c>
      <c r="J25" s="9">
        <v>440.4</v>
      </c>
      <c r="K25" s="12">
        <v>22.9</v>
      </c>
      <c r="L25" s="2" t="s">
        <v>19</v>
      </c>
      <c r="M25" s="3" t="s">
        <v>55</v>
      </c>
      <c r="N25" s="11">
        <v>6.7666666666666667E-2</v>
      </c>
      <c r="O25" s="11">
        <v>1.2E-2</v>
      </c>
      <c r="P25" s="16">
        <v>52.667500000000004</v>
      </c>
      <c r="Q25" s="3">
        <v>0</v>
      </c>
      <c r="R25" s="17">
        <v>2.2250000000000005</v>
      </c>
      <c r="S25" s="17">
        <v>8</v>
      </c>
      <c r="T25" s="17">
        <v>2.2000000000000002</v>
      </c>
      <c r="U25" s="2" t="s">
        <v>21</v>
      </c>
    </row>
    <row r="26" spans="2:21">
      <c r="B26" s="5">
        <v>45860</v>
      </c>
      <c r="C26" s="11">
        <v>6.7000000000000004E-2</v>
      </c>
      <c r="D26" s="11">
        <v>0.8</v>
      </c>
      <c r="E26" s="3" t="s">
        <v>24</v>
      </c>
      <c r="F26" s="8">
        <v>4.753333333333333</v>
      </c>
      <c r="G26" s="21">
        <v>0.33</v>
      </c>
      <c r="H26" s="8">
        <v>52.593333333333334</v>
      </c>
      <c r="I26" s="9">
        <v>2.1199999999999997</v>
      </c>
      <c r="J26" s="9">
        <v>437.66666666666669</v>
      </c>
      <c r="K26" s="12">
        <v>22.3</v>
      </c>
      <c r="L26" s="2" t="s">
        <v>19</v>
      </c>
      <c r="M26" s="3" t="s">
        <v>41</v>
      </c>
      <c r="N26" s="11">
        <v>5.9833333333333329E-2</v>
      </c>
      <c r="O26" s="11">
        <v>1.15E-2</v>
      </c>
      <c r="P26" s="16">
        <v>52.83</v>
      </c>
      <c r="Q26" s="3">
        <v>0</v>
      </c>
      <c r="R26" s="17">
        <v>1.9666666666666668</v>
      </c>
      <c r="S26" s="17">
        <v>8</v>
      </c>
      <c r="T26" s="17">
        <v>1.2</v>
      </c>
      <c r="U26" s="2" t="s">
        <v>21</v>
      </c>
    </row>
    <row r="27" spans="2:21">
      <c r="B27" s="5">
        <v>45861</v>
      </c>
      <c r="C27" s="11">
        <v>6.7000000000000004E-2</v>
      </c>
      <c r="D27" s="11">
        <v>0.78</v>
      </c>
      <c r="E27" s="3" t="s">
        <v>18</v>
      </c>
      <c r="F27" s="8">
        <v>4.4050000000000002</v>
      </c>
      <c r="G27" s="21">
        <v>0.22</v>
      </c>
      <c r="H27" s="8">
        <v>52.534999999999997</v>
      </c>
      <c r="I27" s="9">
        <v>2.13</v>
      </c>
      <c r="J27" s="9">
        <v>432.5</v>
      </c>
      <c r="K27" s="12">
        <v>24.9</v>
      </c>
      <c r="L27" s="2" t="s">
        <v>19</v>
      </c>
      <c r="M27" s="3" t="s">
        <v>55</v>
      </c>
      <c r="N27" s="11">
        <v>6.5416666666666665E-2</v>
      </c>
      <c r="O27" s="11">
        <v>1.2E-2</v>
      </c>
      <c r="P27" s="16">
        <v>52.592500000000001</v>
      </c>
      <c r="Q27" s="3">
        <v>0</v>
      </c>
      <c r="R27" s="17">
        <v>2.1249999999999996</v>
      </c>
      <c r="S27" s="17">
        <v>8</v>
      </c>
      <c r="T27" s="17">
        <v>1.5</v>
      </c>
      <c r="U27" s="2" t="s">
        <v>21</v>
      </c>
    </row>
    <row r="28" spans="2:21">
      <c r="B28" s="5">
        <v>45862</v>
      </c>
      <c r="C28" s="11">
        <v>6.7000000000000004E-2</v>
      </c>
      <c r="D28" s="11">
        <v>0.73</v>
      </c>
      <c r="E28" s="3" t="s">
        <v>18</v>
      </c>
      <c r="F28" s="8">
        <v>4.32</v>
      </c>
      <c r="G28" s="21">
        <v>0.23499999999999999</v>
      </c>
      <c r="H28" s="8">
        <v>52.504999999999995</v>
      </c>
      <c r="I28" s="9">
        <v>2.2949999999999999</v>
      </c>
      <c r="J28" s="9">
        <v>459</v>
      </c>
      <c r="K28" s="12">
        <v>26.1</v>
      </c>
      <c r="L28" s="2" t="s">
        <v>19</v>
      </c>
      <c r="M28" s="3" t="s">
        <v>22</v>
      </c>
      <c r="N28" s="11">
        <v>6.6916666666666666E-2</v>
      </c>
      <c r="O28" s="11">
        <v>1.2E-2</v>
      </c>
      <c r="P28" s="16">
        <v>52.577500000000008</v>
      </c>
      <c r="Q28" s="3">
        <v>0</v>
      </c>
      <c r="R28" s="17">
        <v>2.0833333333333335</v>
      </c>
      <c r="S28" s="17">
        <v>8</v>
      </c>
      <c r="T28" s="17">
        <v>1.3</v>
      </c>
      <c r="U28" s="2" t="s">
        <v>21</v>
      </c>
    </row>
    <row r="29" spans="2:21">
      <c r="B29" s="5">
        <v>45863</v>
      </c>
      <c r="C29" s="11">
        <v>6.7000000000000004E-2</v>
      </c>
      <c r="D29" s="11">
        <v>0.7</v>
      </c>
      <c r="E29" s="3" t="s">
        <v>18</v>
      </c>
      <c r="F29" s="8">
        <v>4.2549999999999999</v>
      </c>
      <c r="G29" s="21">
        <v>0.23</v>
      </c>
      <c r="H29" s="8">
        <v>52.605000000000004</v>
      </c>
      <c r="I29" s="9">
        <v>2.3250000000000002</v>
      </c>
      <c r="J29" s="9">
        <v>465.5</v>
      </c>
      <c r="K29" s="12">
        <v>26.9</v>
      </c>
      <c r="L29" s="2" t="s">
        <v>19</v>
      </c>
      <c r="M29" s="3" t="s">
        <v>55</v>
      </c>
      <c r="N29" s="11">
        <v>6.7923076923076919E-2</v>
      </c>
      <c r="O29" s="11">
        <v>1.3000000000000001E-2</v>
      </c>
      <c r="P29" s="16">
        <v>52.537500000000001</v>
      </c>
      <c r="Q29" s="3">
        <v>0</v>
      </c>
      <c r="R29" s="17">
        <v>2.0923076923076929</v>
      </c>
      <c r="S29" s="17">
        <v>8</v>
      </c>
      <c r="T29" s="17">
        <v>1.6</v>
      </c>
      <c r="U29" s="2" t="s">
        <v>21</v>
      </c>
    </row>
    <row r="30" spans="2:21">
      <c r="B30" s="5">
        <v>45864</v>
      </c>
      <c r="C30" s="11">
        <v>6.7000000000000004E-2</v>
      </c>
      <c r="D30" s="11">
        <v>0.7</v>
      </c>
      <c r="E30" s="3" t="s">
        <v>18</v>
      </c>
      <c r="F30" s="8">
        <v>4.2549999999999999</v>
      </c>
      <c r="G30" s="21">
        <v>0.21000000000000002</v>
      </c>
      <c r="H30" s="8">
        <v>52.54</v>
      </c>
      <c r="I30" s="9">
        <v>2.2599999999999998</v>
      </c>
      <c r="J30" s="9">
        <v>455</v>
      </c>
      <c r="K30" s="12">
        <v>25</v>
      </c>
      <c r="L30" s="2" t="s">
        <v>19</v>
      </c>
      <c r="M30" s="3" t="s">
        <v>55</v>
      </c>
      <c r="N30" s="11">
        <v>6.8923076923076934E-2</v>
      </c>
      <c r="O30" s="11">
        <v>1.2E-2</v>
      </c>
      <c r="P30" s="16">
        <v>52.44</v>
      </c>
      <c r="Q30" s="3">
        <v>0</v>
      </c>
      <c r="R30" s="17">
        <v>1.9923076923076921</v>
      </c>
      <c r="S30" s="17">
        <v>8</v>
      </c>
      <c r="T30" s="17">
        <v>2.2999999999999998</v>
      </c>
      <c r="U30" s="2" t="s">
        <v>21</v>
      </c>
    </row>
    <row r="31" spans="2:21">
      <c r="B31" s="5">
        <v>45865</v>
      </c>
      <c r="C31" s="11">
        <v>6.7000000000000004E-2</v>
      </c>
      <c r="D31" s="11">
        <v>0.7</v>
      </c>
      <c r="E31" s="3" t="s">
        <v>18</v>
      </c>
      <c r="F31" s="8">
        <v>4.335</v>
      </c>
      <c r="G31" s="21">
        <v>0.22500000000000001</v>
      </c>
      <c r="H31" s="9">
        <v>52.39</v>
      </c>
      <c r="I31" s="9">
        <v>2.2599999999999998</v>
      </c>
      <c r="J31" s="9">
        <v>455</v>
      </c>
      <c r="K31" s="12">
        <v>23.2</v>
      </c>
      <c r="L31" s="2" t="s">
        <v>19</v>
      </c>
      <c r="M31" s="3" t="s">
        <v>20</v>
      </c>
      <c r="N31" s="11">
        <v>6.7583333333333329E-2</v>
      </c>
      <c r="O31" s="11">
        <v>1.2E-2</v>
      </c>
      <c r="P31" s="16">
        <v>52.426666666666669</v>
      </c>
      <c r="Q31" s="3">
        <v>0</v>
      </c>
      <c r="R31" s="17">
        <v>2</v>
      </c>
      <c r="S31" s="17">
        <v>8</v>
      </c>
      <c r="T31" s="17">
        <v>2.1</v>
      </c>
      <c r="U31" s="2" t="s">
        <v>21</v>
      </c>
    </row>
    <row r="32" spans="2:21">
      <c r="B32" s="5">
        <v>45866</v>
      </c>
      <c r="C32" s="11">
        <v>6.7000000000000004E-2</v>
      </c>
      <c r="D32" s="11">
        <v>0.7</v>
      </c>
      <c r="E32" s="3" t="s">
        <v>18</v>
      </c>
      <c r="F32" s="8">
        <v>4.0999999999999996</v>
      </c>
      <c r="G32" s="21">
        <v>0.21500000000000002</v>
      </c>
      <c r="H32" s="8">
        <v>52.385000000000005</v>
      </c>
      <c r="I32" s="9">
        <v>2.33</v>
      </c>
      <c r="J32" s="9">
        <v>464.5</v>
      </c>
      <c r="K32" s="12">
        <v>22.7</v>
      </c>
      <c r="L32" s="2" t="s">
        <v>19</v>
      </c>
      <c r="M32" s="3" t="s">
        <v>55</v>
      </c>
      <c r="N32" s="11">
        <v>6.7916666666666681E-2</v>
      </c>
      <c r="O32" s="11">
        <v>1.2E-2</v>
      </c>
      <c r="P32" s="16">
        <v>52.43</v>
      </c>
      <c r="Q32" s="3">
        <v>0</v>
      </c>
      <c r="R32" s="17">
        <v>2.058333333333334</v>
      </c>
      <c r="S32" s="17">
        <v>8</v>
      </c>
      <c r="T32" s="17">
        <v>1.8</v>
      </c>
      <c r="U32" s="2" t="s">
        <v>21</v>
      </c>
    </row>
    <row r="33" spans="2:21">
      <c r="B33" s="5">
        <v>45867</v>
      </c>
      <c r="C33" s="11">
        <v>6.7000000000000004E-2</v>
      </c>
      <c r="D33" s="11">
        <v>0.7</v>
      </c>
      <c r="E33" s="3" t="s">
        <v>18</v>
      </c>
      <c r="F33" s="8">
        <v>4.04</v>
      </c>
      <c r="G33" s="21">
        <v>0.22500000000000001</v>
      </c>
      <c r="H33" s="8">
        <v>52.515000000000001</v>
      </c>
      <c r="I33" s="9">
        <v>2.2799999999999998</v>
      </c>
      <c r="J33" s="9">
        <v>456</v>
      </c>
      <c r="K33" s="12">
        <v>21.5</v>
      </c>
      <c r="L33" s="2" t="s">
        <v>19</v>
      </c>
      <c r="M33" s="3" t="s">
        <v>55</v>
      </c>
      <c r="N33" s="11">
        <v>6.7083333333333328E-2</v>
      </c>
      <c r="O33" s="11">
        <v>1.0999999999999999E-2</v>
      </c>
      <c r="P33" s="16">
        <v>52.623333333333335</v>
      </c>
      <c r="Q33" s="3">
        <v>0</v>
      </c>
      <c r="R33" s="17">
        <v>1.9916666666666665</v>
      </c>
      <c r="S33" s="17">
        <v>8</v>
      </c>
      <c r="T33" s="17">
        <v>2.2000000000000002</v>
      </c>
      <c r="U33" s="2" t="s">
        <v>21</v>
      </c>
    </row>
    <row r="34" spans="2:21">
      <c r="B34" s="5">
        <v>45868</v>
      </c>
      <c r="C34" s="11">
        <v>6.7000000000000004E-2</v>
      </c>
      <c r="D34" s="11">
        <v>0.69</v>
      </c>
      <c r="E34" s="3" t="s">
        <v>18</v>
      </c>
      <c r="F34" s="8">
        <v>4.0199999999999996</v>
      </c>
      <c r="G34" s="21">
        <v>0.22500000000000001</v>
      </c>
      <c r="H34" s="8">
        <v>52.6</v>
      </c>
      <c r="I34" s="9">
        <v>2.2200000000000002</v>
      </c>
      <c r="J34" s="9">
        <v>454</v>
      </c>
      <c r="K34" s="12">
        <v>23.1</v>
      </c>
      <c r="L34" s="2" t="s">
        <v>19</v>
      </c>
      <c r="M34" s="3" t="s">
        <v>55</v>
      </c>
      <c r="N34" s="11">
        <v>6.8692307692307691E-2</v>
      </c>
      <c r="O34" s="11">
        <v>1.2500000000000001E-2</v>
      </c>
      <c r="P34" s="16">
        <v>52.612499999999997</v>
      </c>
      <c r="Q34" s="3">
        <v>0</v>
      </c>
      <c r="R34" s="17">
        <v>1.9538461538461538</v>
      </c>
      <c r="S34" s="17">
        <v>8</v>
      </c>
      <c r="T34" s="17">
        <v>1.6</v>
      </c>
      <c r="U34" s="2" t="s">
        <v>21</v>
      </c>
    </row>
    <row r="35" spans="2:21">
      <c r="B35" s="5">
        <v>45869</v>
      </c>
      <c r="C35" s="11">
        <v>6.7000000000000004E-2</v>
      </c>
      <c r="D35" s="16">
        <v>0.7</v>
      </c>
      <c r="E35" s="3" t="s">
        <v>18</v>
      </c>
      <c r="F35" s="16">
        <v>3.9550000000000001</v>
      </c>
      <c r="G35" s="11">
        <v>0.22499999999999998</v>
      </c>
      <c r="H35" s="16">
        <v>52.614999999999995</v>
      </c>
      <c r="I35" s="16">
        <v>2.2949999999999999</v>
      </c>
      <c r="J35" s="16">
        <v>466</v>
      </c>
      <c r="K35" s="17">
        <v>26.6</v>
      </c>
      <c r="L35" s="2" t="s">
        <v>19</v>
      </c>
      <c r="M35" s="3" t="s">
        <v>55</v>
      </c>
      <c r="N35" s="11">
        <v>6.7923076923076919E-2</v>
      </c>
      <c r="O35" s="11">
        <v>1.15E-2</v>
      </c>
      <c r="P35" s="3">
        <v>52.84</v>
      </c>
      <c r="Q35" s="3">
        <v>0</v>
      </c>
      <c r="R35" s="17">
        <v>2.0153846153846153</v>
      </c>
      <c r="S35" s="17">
        <v>8</v>
      </c>
      <c r="T35" s="17">
        <v>2.6</v>
      </c>
      <c r="U35" s="2" t="s">
        <v>21</v>
      </c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6">
    <mergeCell ref="M3:U3"/>
    <mergeCell ref="B37:D37"/>
    <mergeCell ref="B3:B4"/>
    <mergeCell ref="C3:C4"/>
    <mergeCell ref="D3:D4"/>
    <mergeCell ref="E3:L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8966-C05C-4D61-9262-1E66214636E2}">
  <sheetPr codeName="Sheet8"/>
  <dimension ref="B3:U41"/>
  <sheetViews>
    <sheetView topLeftCell="E21" workbookViewId="0">
      <selection activeCell="R35" sqref="R35"/>
    </sheetView>
  </sheetViews>
  <sheetFormatPr defaultRowHeight="15"/>
  <cols>
    <col min="2" max="4" width="15.7109375" style="4" customWidth="1"/>
    <col min="5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45870</v>
      </c>
      <c r="C5" s="3">
        <v>6.7000000000000004E-2</v>
      </c>
      <c r="D5" s="11">
        <v>0.7</v>
      </c>
      <c r="E5" s="3" t="s">
        <v>18</v>
      </c>
      <c r="F5" s="8">
        <v>3.88</v>
      </c>
      <c r="G5" s="21">
        <v>0.21500000000000002</v>
      </c>
      <c r="H5" s="8">
        <v>52.75</v>
      </c>
      <c r="I5" s="8">
        <v>2.2599999999999998</v>
      </c>
      <c r="J5" s="8">
        <v>449</v>
      </c>
      <c r="K5" s="12">
        <v>23.5</v>
      </c>
      <c r="L5" s="2" t="s">
        <v>19</v>
      </c>
      <c r="M5" s="3" t="s">
        <v>20</v>
      </c>
      <c r="N5" s="20">
        <v>6.6583333333333342E-2</v>
      </c>
      <c r="O5" s="20">
        <v>1.2E-2</v>
      </c>
      <c r="P5" s="13">
        <v>52.924999999999997</v>
      </c>
      <c r="Q5" s="14">
        <v>0</v>
      </c>
      <c r="R5" s="15">
        <v>1.9083333333333332</v>
      </c>
      <c r="S5" s="17">
        <v>8</v>
      </c>
      <c r="T5" s="17">
        <v>1.4</v>
      </c>
      <c r="U5" s="2" t="s">
        <v>21</v>
      </c>
    </row>
    <row r="6" spans="2:21">
      <c r="B6" s="5">
        <v>45871</v>
      </c>
      <c r="C6" s="3">
        <v>6.7000000000000004E-2</v>
      </c>
      <c r="D6" s="11">
        <v>0.7</v>
      </c>
      <c r="E6" s="3" t="s">
        <v>18</v>
      </c>
      <c r="F6" s="8">
        <v>4.1950000000000003</v>
      </c>
      <c r="G6" s="21">
        <v>0.22</v>
      </c>
      <c r="H6" s="8">
        <v>52.53</v>
      </c>
      <c r="I6" s="9">
        <v>2.3049999999999997</v>
      </c>
      <c r="J6" s="9">
        <v>459</v>
      </c>
      <c r="K6" s="12">
        <v>19.7</v>
      </c>
      <c r="L6" s="2" t="s">
        <v>19</v>
      </c>
      <c r="M6" s="3" t="s">
        <v>20</v>
      </c>
      <c r="N6" s="11">
        <v>6.8416666666666667E-2</v>
      </c>
      <c r="O6" s="11">
        <v>1.2E-2</v>
      </c>
      <c r="P6" s="16">
        <v>52.510000000000005</v>
      </c>
      <c r="Q6" s="3">
        <v>0</v>
      </c>
      <c r="R6" s="17">
        <v>1.8500000000000003</v>
      </c>
      <c r="S6" s="17">
        <v>8</v>
      </c>
      <c r="T6" s="17">
        <v>2.2000000000000002</v>
      </c>
      <c r="U6" s="2" t="s">
        <v>21</v>
      </c>
    </row>
    <row r="7" spans="2:21">
      <c r="B7" s="5">
        <v>45872</v>
      </c>
      <c r="C7" s="11">
        <v>6.7000000000000004E-2</v>
      </c>
      <c r="D7" s="11">
        <v>0.7</v>
      </c>
      <c r="E7" s="3" t="s">
        <v>18</v>
      </c>
      <c r="F7" s="8">
        <v>4.1449999999999996</v>
      </c>
      <c r="G7" s="21">
        <v>0.21</v>
      </c>
      <c r="H7" s="8">
        <v>52.5</v>
      </c>
      <c r="I7" s="9">
        <v>2.2599999999999998</v>
      </c>
      <c r="J7" s="9">
        <v>454.5</v>
      </c>
      <c r="K7" s="12">
        <v>18.5</v>
      </c>
      <c r="L7" s="2" t="s">
        <v>19</v>
      </c>
      <c r="M7" s="3" t="s">
        <v>20</v>
      </c>
      <c r="N7" s="11">
        <v>6.483333333333334E-2</v>
      </c>
      <c r="O7" s="11">
        <v>1.15E-2</v>
      </c>
      <c r="P7" s="16">
        <v>52.349999999999994</v>
      </c>
      <c r="Q7" s="3">
        <v>0</v>
      </c>
      <c r="R7" s="17">
        <v>1.8916666666666664</v>
      </c>
      <c r="S7" s="17">
        <v>8</v>
      </c>
      <c r="T7" s="17">
        <v>1.6</v>
      </c>
      <c r="U7" s="2" t="s">
        <v>21</v>
      </c>
    </row>
    <row r="8" spans="2:21">
      <c r="B8" s="5">
        <v>45873</v>
      </c>
      <c r="C8" s="11">
        <v>6.7000000000000004E-2</v>
      </c>
      <c r="D8" s="11">
        <v>0.6</v>
      </c>
      <c r="E8" s="3" t="s">
        <v>18</v>
      </c>
      <c r="F8" s="8">
        <v>3.835</v>
      </c>
      <c r="G8" s="21">
        <v>0.22500000000000001</v>
      </c>
      <c r="H8" s="8">
        <v>52.58</v>
      </c>
      <c r="I8" s="9">
        <v>2.27</v>
      </c>
      <c r="J8" s="9">
        <v>441</v>
      </c>
      <c r="K8" s="12">
        <v>22.3</v>
      </c>
      <c r="L8" s="2" t="s">
        <v>19</v>
      </c>
      <c r="M8" s="3" t="s">
        <v>20</v>
      </c>
      <c r="N8" s="11">
        <v>6.7833333333333343E-2</v>
      </c>
      <c r="O8" s="11">
        <v>1.2E-2</v>
      </c>
      <c r="P8" s="16">
        <v>52.585000000000001</v>
      </c>
      <c r="Q8" s="3">
        <v>0</v>
      </c>
      <c r="R8" s="17">
        <v>1.9916666666666665</v>
      </c>
      <c r="S8" s="17">
        <v>8</v>
      </c>
      <c r="T8" s="17">
        <v>1.9</v>
      </c>
      <c r="U8" s="2" t="s">
        <v>21</v>
      </c>
    </row>
    <row r="9" spans="2:21">
      <c r="B9" s="5">
        <v>45874</v>
      </c>
      <c r="C9" s="11">
        <v>6.7000000000000004E-2</v>
      </c>
      <c r="D9" s="11">
        <v>0.6</v>
      </c>
      <c r="E9" s="3" t="s">
        <v>18</v>
      </c>
      <c r="F9" s="8">
        <v>3.895</v>
      </c>
      <c r="G9" s="21">
        <v>0.22500000000000001</v>
      </c>
      <c r="H9" s="8">
        <v>52.55</v>
      </c>
      <c r="I9" s="9">
        <v>2.2999999999999998</v>
      </c>
      <c r="J9" s="9">
        <v>463.5</v>
      </c>
      <c r="K9" s="12">
        <v>21</v>
      </c>
      <c r="L9" s="2" t="s">
        <v>19</v>
      </c>
      <c r="M9" s="3" t="s">
        <v>20</v>
      </c>
      <c r="N9" s="11">
        <v>6.9666666666666655E-2</v>
      </c>
      <c r="O9" s="11">
        <v>1.2500000000000001E-2</v>
      </c>
      <c r="P9" s="16">
        <v>52.620000000000005</v>
      </c>
      <c r="Q9" s="3">
        <v>0</v>
      </c>
      <c r="R9" s="17">
        <v>2.0166666666666671</v>
      </c>
      <c r="S9" s="17">
        <v>8</v>
      </c>
      <c r="T9" s="17">
        <v>2.4</v>
      </c>
      <c r="U9" s="2" t="s">
        <v>21</v>
      </c>
    </row>
    <row r="10" spans="2:21">
      <c r="B10" s="5">
        <v>45875</v>
      </c>
      <c r="C10" s="11">
        <v>6.7000000000000004E-2</v>
      </c>
      <c r="D10" s="11">
        <v>0.6</v>
      </c>
      <c r="E10" s="3" t="s">
        <v>18</v>
      </c>
      <c r="F10" s="8">
        <v>3.8049999999999997</v>
      </c>
      <c r="G10" s="21">
        <v>0.23</v>
      </c>
      <c r="H10" s="8">
        <v>52.39</v>
      </c>
      <c r="I10" s="9">
        <v>2.355</v>
      </c>
      <c r="J10" s="9">
        <v>467</v>
      </c>
      <c r="K10" s="12">
        <v>20.8</v>
      </c>
      <c r="L10" s="2" t="s">
        <v>19</v>
      </c>
      <c r="M10" s="3" t="s">
        <v>20</v>
      </c>
      <c r="N10" s="11">
        <v>7.0666666666666655E-2</v>
      </c>
      <c r="O10" s="11">
        <v>1.2E-2</v>
      </c>
      <c r="P10" s="16">
        <v>52.72</v>
      </c>
      <c r="Q10" s="3">
        <v>0</v>
      </c>
      <c r="R10" s="17">
        <v>2.1000000000000005</v>
      </c>
      <c r="S10" s="17">
        <v>8</v>
      </c>
      <c r="T10" s="17">
        <v>3</v>
      </c>
      <c r="U10" s="2" t="s">
        <v>21</v>
      </c>
    </row>
    <row r="11" spans="2:21">
      <c r="B11" s="5">
        <v>45876</v>
      </c>
      <c r="C11" s="3">
        <v>6.7000000000000004E-2</v>
      </c>
      <c r="D11" s="11">
        <v>0.6</v>
      </c>
      <c r="E11" s="3" t="s">
        <v>18</v>
      </c>
      <c r="F11" s="8">
        <v>4.0549999999999997</v>
      </c>
      <c r="G11" s="21">
        <v>0.22</v>
      </c>
      <c r="H11" s="8">
        <v>52.620000000000005</v>
      </c>
      <c r="I11" s="9">
        <v>2.21</v>
      </c>
      <c r="J11" s="9">
        <v>447</v>
      </c>
      <c r="K11" s="12">
        <v>22.1</v>
      </c>
      <c r="L11" s="2" t="s">
        <v>19</v>
      </c>
      <c r="M11" s="3" t="s">
        <v>20</v>
      </c>
      <c r="N11" s="11">
        <v>7.2166666666666643E-2</v>
      </c>
      <c r="O11" s="11">
        <v>1.0999999999999999E-2</v>
      </c>
      <c r="P11" s="16">
        <v>52.68</v>
      </c>
      <c r="Q11" s="3">
        <v>0</v>
      </c>
      <c r="R11" s="17">
        <v>2.1166666666666667</v>
      </c>
      <c r="S11" s="17">
        <v>8</v>
      </c>
      <c r="T11" s="17">
        <v>2.2000000000000002</v>
      </c>
      <c r="U11" s="2" t="s">
        <v>21</v>
      </c>
    </row>
    <row r="12" spans="2:21">
      <c r="B12" s="5">
        <v>45877</v>
      </c>
      <c r="C12" s="11">
        <v>6.7000000000000004E-2</v>
      </c>
      <c r="D12" s="11">
        <v>0.6</v>
      </c>
      <c r="E12" s="3" t="s">
        <v>18</v>
      </c>
      <c r="F12" s="8">
        <v>3.99</v>
      </c>
      <c r="G12" s="21">
        <v>0.21</v>
      </c>
      <c r="H12" s="8">
        <v>52.484999999999999</v>
      </c>
      <c r="I12" s="9">
        <v>2.2000000000000002</v>
      </c>
      <c r="J12" s="9">
        <v>448</v>
      </c>
      <c r="K12" s="12">
        <v>18.399999999999999</v>
      </c>
      <c r="L12" s="2" t="s">
        <v>19</v>
      </c>
      <c r="M12" s="3" t="s">
        <v>20</v>
      </c>
      <c r="N12" s="11">
        <v>7.0923076923076922E-2</v>
      </c>
      <c r="O12" s="11">
        <v>1.0999999999999999E-2</v>
      </c>
      <c r="P12" s="16">
        <v>52.480000000000004</v>
      </c>
      <c r="Q12" s="3">
        <v>0</v>
      </c>
      <c r="R12" s="17">
        <v>2.0307692307692311</v>
      </c>
      <c r="S12" s="17">
        <v>8</v>
      </c>
      <c r="T12" s="17">
        <v>1.9</v>
      </c>
      <c r="U12" s="2" t="s">
        <v>21</v>
      </c>
    </row>
    <row r="13" spans="2:21">
      <c r="B13" s="5">
        <v>45878</v>
      </c>
      <c r="C13" s="11">
        <v>6.7000000000000004E-2</v>
      </c>
      <c r="D13" s="11">
        <v>0.6</v>
      </c>
      <c r="E13" s="3" t="s">
        <v>18</v>
      </c>
      <c r="F13" s="8">
        <v>4.0199999999999996</v>
      </c>
      <c r="G13" s="21">
        <v>0.215</v>
      </c>
      <c r="H13" s="8">
        <v>52.28</v>
      </c>
      <c r="I13" s="9">
        <v>2.2350000000000003</v>
      </c>
      <c r="J13" s="9">
        <v>452</v>
      </c>
      <c r="K13" s="12">
        <v>20.6</v>
      </c>
      <c r="L13" s="2" t="s">
        <v>19</v>
      </c>
      <c r="M13" s="3" t="s">
        <v>20</v>
      </c>
      <c r="N13" s="11">
        <v>6.8999999999999992E-2</v>
      </c>
      <c r="O13" s="11">
        <v>1.15E-2</v>
      </c>
      <c r="P13" s="16">
        <v>52.335000000000001</v>
      </c>
      <c r="Q13" s="3">
        <v>0</v>
      </c>
      <c r="R13" s="17">
        <v>2.0916666666666672</v>
      </c>
      <c r="S13" s="17">
        <v>8</v>
      </c>
      <c r="T13" s="17">
        <v>2.2999999999999998</v>
      </c>
      <c r="U13" s="2" t="s">
        <v>21</v>
      </c>
    </row>
    <row r="14" spans="2:21">
      <c r="B14" s="5">
        <v>45879</v>
      </c>
      <c r="C14" s="11">
        <v>6.7000000000000004E-2</v>
      </c>
      <c r="D14" s="11">
        <v>0.6</v>
      </c>
      <c r="E14" s="3" t="s">
        <v>18</v>
      </c>
      <c r="F14" s="8">
        <v>3.915</v>
      </c>
      <c r="G14" s="21">
        <v>0.22500000000000001</v>
      </c>
      <c r="H14" s="8">
        <v>52.394999999999996</v>
      </c>
      <c r="I14" s="9">
        <v>2.2650000000000001</v>
      </c>
      <c r="J14" s="9">
        <v>456.5</v>
      </c>
      <c r="K14" s="12">
        <v>21.8</v>
      </c>
      <c r="L14" s="2" t="s">
        <v>19</v>
      </c>
      <c r="M14" s="3" t="s">
        <v>20</v>
      </c>
      <c r="N14" s="11">
        <v>6.9666666666666655E-2</v>
      </c>
      <c r="O14" s="11">
        <v>1.15E-2</v>
      </c>
      <c r="P14" s="16">
        <v>52.35</v>
      </c>
      <c r="Q14" s="3">
        <v>0</v>
      </c>
      <c r="R14" s="17">
        <v>2.1250000000000004</v>
      </c>
      <c r="S14" s="17">
        <v>8</v>
      </c>
      <c r="T14" s="17">
        <v>2.2999999999999998</v>
      </c>
      <c r="U14" s="2" t="s">
        <v>21</v>
      </c>
    </row>
    <row r="15" spans="2:21">
      <c r="B15" s="5">
        <v>45880</v>
      </c>
      <c r="C15" s="11">
        <v>6.7000000000000004E-2</v>
      </c>
      <c r="D15" s="11">
        <v>0.6</v>
      </c>
      <c r="E15" s="3" t="s">
        <v>18</v>
      </c>
      <c r="F15" s="8">
        <v>4.0649999999999995</v>
      </c>
      <c r="G15" s="21">
        <v>0.20500000000000002</v>
      </c>
      <c r="H15" s="8">
        <v>52.655000000000001</v>
      </c>
      <c r="I15" s="9">
        <v>2.2249999999999996</v>
      </c>
      <c r="J15" s="9">
        <v>437</v>
      </c>
      <c r="K15" s="12">
        <v>19.899999999999999</v>
      </c>
      <c r="L15" s="2" t="s">
        <v>19</v>
      </c>
      <c r="M15" s="3" t="s">
        <v>20</v>
      </c>
      <c r="N15" s="11">
        <v>7.2142857142857147E-2</v>
      </c>
      <c r="O15" s="11">
        <v>1.0999999999999999E-2</v>
      </c>
      <c r="P15" s="16">
        <v>52.65</v>
      </c>
      <c r="Q15" s="3">
        <v>0</v>
      </c>
      <c r="R15" s="17">
        <v>2.1214285714285723</v>
      </c>
      <c r="S15" s="17">
        <v>8</v>
      </c>
      <c r="T15" s="17">
        <v>2.1</v>
      </c>
      <c r="U15" s="2" t="s">
        <v>21</v>
      </c>
    </row>
    <row r="16" spans="2:21">
      <c r="B16" s="5">
        <v>45881</v>
      </c>
      <c r="C16" s="11">
        <v>6.7000000000000004E-2</v>
      </c>
      <c r="D16" s="11">
        <v>0.6</v>
      </c>
      <c r="E16" s="3" t="s">
        <v>18</v>
      </c>
      <c r="F16" s="8">
        <v>4.1449999999999996</v>
      </c>
      <c r="G16" s="21">
        <v>0.215</v>
      </c>
      <c r="H16" s="8">
        <v>52.685000000000002</v>
      </c>
      <c r="I16" s="9">
        <v>2.38</v>
      </c>
      <c r="J16" s="9">
        <v>512</v>
      </c>
      <c r="K16" s="12">
        <v>20.7</v>
      </c>
      <c r="L16" s="2" t="s">
        <v>19</v>
      </c>
      <c r="M16" s="3" t="s">
        <v>20</v>
      </c>
      <c r="N16" s="11">
        <v>6.9416666666666682E-2</v>
      </c>
      <c r="O16" s="11">
        <v>1.0999999999999999E-2</v>
      </c>
      <c r="P16" s="16">
        <v>52.87</v>
      </c>
      <c r="Q16" s="3">
        <v>0</v>
      </c>
      <c r="R16" s="17">
        <v>2.1000000000000005</v>
      </c>
      <c r="S16" s="17">
        <v>8</v>
      </c>
      <c r="T16" s="17">
        <v>2.6</v>
      </c>
      <c r="U16" s="2" t="s">
        <v>21</v>
      </c>
    </row>
    <row r="17" spans="2:21">
      <c r="B17" s="5">
        <v>45882</v>
      </c>
      <c r="C17" s="11">
        <v>6.7000000000000004E-2</v>
      </c>
      <c r="D17" s="11">
        <v>0.6</v>
      </c>
      <c r="E17" s="3" t="s">
        <v>18</v>
      </c>
      <c r="F17" s="8">
        <v>4.1199999999999992</v>
      </c>
      <c r="G17" s="21">
        <v>0.22</v>
      </c>
      <c r="H17" s="8">
        <v>52.445</v>
      </c>
      <c r="I17" s="9">
        <v>2.3200000000000003</v>
      </c>
      <c r="J17" s="9">
        <v>485</v>
      </c>
      <c r="K17" s="12">
        <v>24.2</v>
      </c>
      <c r="L17" s="2" t="s">
        <v>19</v>
      </c>
      <c r="M17" s="3" t="s">
        <v>22</v>
      </c>
      <c r="N17" s="11">
        <v>7.0538461538461536E-2</v>
      </c>
      <c r="O17" s="11">
        <v>1.2E-2</v>
      </c>
      <c r="P17" s="16">
        <v>52.51</v>
      </c>
      <c r="Q17" s="3">
        <v>0</v>
      </c>
      <c r="R17" s="17">
        <v>2.146153846153847</v>
      </c>
      <c r="S17" s="17">
        <v>8</v>
      </c>
      <c r="T17" s="17">
        <v>2.4</v>
      </c>
      <c r="U17" s="2" t="s">
        <v>21</v>
      </c>
    </row>
    <row r="18" spans="2:21">
      <c r="B18" s="5">
        <v>45883</v>
      </c>
      <c r="C18" s="3">
        <v>6.7000000000000004E-2</v>
      </c>
      <c r="D18" s="11">
        <v>0.6</v>
      </c>
      <c r="E18" s="3" t="s">
        <v>18</v>
      </c>
      <c r="F18" s="8">
        <v>4.085</v>
      </c>
      <c r="G18" s="21">
        <v>0.22</v>
      </c>
      <c r="H18" s="8">
        <v>52.49</v>
      </c>
      <c r="I18" s="9">
        <v>2.3250000000000002</v>
      </c>
      <c r="J18" s="9">
        <v>483.5</v>
      </c>
      <c r="K18" s="12">
        <v>20.7</v>
      </c>
      <c r="L18" s="2" t="s">
        <v>19</v>
      </c>
      <c r="M18" s="3" t="s">
        <v>20</v>
      </c>
      <c r="N18" s="11">
        <v>6.8166666666666667E-2</v>
      </c>
      <c r="O18" s="11">
        <v>1.2E-2</v>
      </c>
      <c r="P18" s="16">
        <v>52.644999999999996</v>
      </c>
      <c r="Q18" s="3">
        <v>0</v>
      </c>
      <c r="R18" s="17">
        <v>2.0916666666666672</v>
      </c>
      <c r="S18" s="17">
        <v>8</v>
      </c>
      <c r="T18" s="17">
        <v>2.7</v>
      </c>
      <c r="U18" s="2" t="s">
        <v>21</v>
      </c>
    </row>
    <row r="19" spans="2:21">
      <c r="B19" s="5">
        <v>45884</v>
      </c>
      <c r="C19" s="11">
        <v>7.0000000000000007E-2</v>
      </c>
      <c r="D19" s="11">
        <v>0.6</v>
      </c>
      <c r="E19" s="3" t="s">
        <v>18</v>
      </c>
      <c r="F19" s="8">
        <v>4.3650000000000002</v>
      </c>
      <c r="G19" s="21">
        <v>0.215</v>
      </c>
      <c r="H19" s="8">
        <v>52.495000000000005</v>
      </c>
      <c r="I19" s="9">
        <v>2.2800000000000002</v>
      </c>
      <c r="J19" s="9">
        <v>471</v>
      </c>
      <c r="K19" s="12">
        <v>21.8</v>
      </c>
      <c r="L19" s="2" t="s">
        <v>19</v>
      </c>
      <c r="M19" s="3" t="s">
        <v>20</v>
      </c>
      <c r="N19" s="11">
        <v>7.1416666666666642E-2</v>
      </c>
      <c r="O19" s="11">
        <v>1.15E-2</v>
      </c>
      <c r="P19" s="16">
        <v>52.575000000000003</v>
      </c>
      <c r="Q19" s="3">
        <v>0</v>
      </c>
      <c r="R19" s="17">
        <v>2.1166666666666667</v>
      </c>
      <c r="S19" s="17">
        <v>8</v>
      </c>
      <c r="T19" s="17">
        <v>2.5</v>
      </c>
      <c r="U19" s="2" t="s">
        <v>21</v>
      </c>
    </row>
    <row r="20" spans="2:21">
      <c r="B20" s="5">
        <v>45885</v>
      </c>
      <c r="C20" s="3">
        <v>6.7000000000000004E-2</v>
      </c>
      <c r="D20" s="11">
        <v>0.6</v>
      </c>
      <c r="E20" s="3" t="s">
        <v>18</v>
      </c>
      <c r="F20" s="8">
        <v>4.2050000000000001</v>
      </c>
      <c r="G20" s="21">
        <v>0.22500000000000001</v>
      </c>
      <c r="H20" s="8">
        <v>52.620000000000005</v>
      </c>
      <c r="I20" s="9">
        <v>2.25</v>
      </c>
      <c r="J20" s="9">
        <v>468.5</v>
      </c>
      <c r="K20" s="12">
        <v>20.5</v>
      </c>
      <c r="L20" s="2" t="s">
        <v>19</v>
      </c>
      <c r="M20" s="3" t="s">
        <v>22</v>
      </c>
      <c r="N20" s="11">
        <v>6.5285714285714294E-2</v>
      </c>
      <c r="O20" s="11">
        <v>1.2E-2</v>
      </c>
      <c r="P20" s="16">
        <v>52.586666666666666</v>
      </c>
      <c r="Q20" s="3">
        <v>0</v>
      </c>
      <c r="R20" s="17">
        <v>2.1428571428571428</v>
      </c>
      <c r="S20" s="17">
        <v>8</v>
      </c>
      <c r="T20" s="17">
        <v>2.2000000000000002</v>
      </c>
      <c r="U20" s="2" t="s">
        <v>21</v>
      </c>
    </row>
    <row r="21" spans="2:21">
      <c r="B21" s="5">
        <v>45886</v>
      </c>
      <c r="C21" s="60" t="s">
        <v>52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2"/>
    </row>
    <row r="22" spans="2:21">
      <c r="B22" s="5">
        <v>45887</v>
      </c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5"/>
    </row>
    <row r="23" spans="2:21">
      <c r="B23" s="5">
        <v>45888</v>
      </c>
      <c r="C23" s="63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5"/>
    </row>
    <row r="24" spans="2:21">
      <c r="B24" s="5">
        <v>45889</v>
      </c>
      <c r="C24" s="63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5"/>
    </row>
    <row r="25" spans="2:21">
      <c r="B25" s="5">
        <v>45890</v>
      </c>
      <c r="C25" s="63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5"/>
    </row>
    <row r="26" spans="2:21">
      <c r="B26" s="5">
        <v>45891</v>
      </c>
      <c r="C26" s="63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5"/>
    </row>
    <row r="27" spans="2:21">
      <c r="B27" s="5">
        <v>45892</v>
      </c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5"/>
    </row>
    <row r="28" spans="2:21">
      <c r="B28" s="5">
        <v>45893</v>
      </c>
      <c r="C28" s="63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5"/>
    </row>
    <row r="29" spans="2:21">
      <c r="B29" s="5">
        <v>45894</v>
      </c>
      <c r="C29" s="63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5"/>
    </row>
    <row r="30" spans="2:21">
      <c r="B30" s="5">
        <v>45895</v>
      </c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5"/>
    </row>
    <row r="31" spans="2:21">
      <c r="B31" s="5">
        <v>45896</v>
      </c>
      <c r="C31" s="63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5"/>
    </row>
    <row r="32" spans="2:21">
      <c r="B32" s="5">
        <v>45897</v>
      </c>
      <c r="C32" s="63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5"/>
    </row>
    <row r="33" spans="2:21">
      <c r="B33" s="5">
        <v>45898</v>
      </c>
      <c r="C33" s="63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5"/>
    </row>
    <row r="34" spans="2:21">
      <c r="B34" s="5">
        <v>45899</v>
      </c>
      <c r="C34" s="66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8"/>
    </row>
    <row r="35" spans="2:21">
      <c r="B35" s="5">
        <v>45900</v>
      </c>
      <c r="C35" s="3">
        <v>6.7000000000000004E-2</v>
      </c>
      <c r="D35" s="42">
        <v>0.7</v>
      </c>
      <c r="E35" s="3" t="s">
        <v>18</v>
      </c>
      <c r="F35" s="16">
        <v>4.3849999999999998</v>
      </c>
      <c r="G35" s="16">
        <v>0.21500000000000002</v>
      </c>
      <c r="H35" s="16">
        <v>52.555</v>
      </c>
      <c r="I35" s="16">
        <v>2.2850000000000001</v>
      </c>
      <c r="J35" s="16">
        <v>470.5</v>
      </c>
      <c r="K35" s="16">
        <v>23.5</v>
      </c>
      <c r="L35" s="2" t="s">
        <v>19</v>
      </c>
      <c r="M35" s="3" t="s">
        <v>55</v>
      </c>
      <c r="N35" s="11">
        <v>0.21622222222222223</v>
      </c>
      <c r="O35" s="3">
        <v>1.2E-2</v>
      </c>
      <c r="P35" s="16">
        <v>52.446666666666665</v>
      </c>
      <c r="Q35" s="3">
        <v>0</v>
      </c>
      <c r="R35" s="17">
        <v>1.9222222222222223</v>
      </c>
      <c r="S35" s="17">
        <v>8</v>
      </c>
      <c r="T35" s="3">
        <v>2.2999999999999998</v>
      </c>
      <c r="U35" s="2" t="s">
        <v>21</v>
      </c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7">
    <mergeCell ref="M3:U3"/>
    <mergeCell ref="B37:D37"/>
    <mergeCell ref="B3:B4"/>
    <mergeCell ref="C3:C4"/>
    <mergeCell ref="D3:D4"/>
    <mergeCell ref="E3:L3"/>
    <mergeCell ref="C21:U3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ECC0-E98D-4D8C-8829-7AF61AA97224}">
  <sheetPr codeName="Sheet10"/>
  <dimension ref="B1:U38"/>
  <sheetViews>
    <sheetView tabSelected="1" workbookViewId="0">
      <selection activeCell="D33" sqref="D33"/>
    </sheetView>
  </sheetViews>
  <sheetFormatPr defaultRowHeight="15"/>
  <cols>
    <col min="1" max="1" width="6.7109375" customWidth="1"/>
    <col min="2" max="4" width="15.7109375" style="4" customWidth="1"/>
    <col min="5" max="12" width="10.7109375" style="4" customWidth="1"/>
    <col min="13" max="13" width="15.7109375" style="10" customWidth="1"/>
    <col min="14" max="19" width="10.7109375" style="10" customWidth="1"/>
    <col min="20" max="21" width="10.7109375" style="4" customWidth="1"/>
  </cols>
  <sheetData>
    <row r="1" spans="2:21">
      <c r="N1" s="18"/>
      <c r="O1" s="18"/>
      <c r="Q1" s="4"/>
      <c r="R1" s="19"/>
    </row>
    <row r="3" spans="2:21">
      <c r="B3" s="79" t="s">
        <v>0</v>
      </c>
      <c r="C3" s="77" t="s">
        <v>1</v>
      </c>
      <c r="D3" s="77" t="s">
        <v>64</v>
      </c>
      <c r="E3" s="70" t="s">
        <v>3</v>
      </c>
      <c r="F3" s="71"/>
      <c r="G3" s="71"/>
      <c r="H3" s="71"/>
      <c r="I3" s="71"/>
      <c r="J3" s="71"/>
      <c r="K3" s="71"/>
      <c r="L3" s="72"/>
      <c r="M3" s="73" t="s">
        <v>4</v>
      </c>
      <c r="N3" s="74"/>
      <c r="O3" s="74"/>
      <c r="P3" s="74"/>
      <c r="Q3" s="74"/>
      <c r="R3" s="74"/>
      <c r="S3" s="74"/>
      <c r="T3" s="74"/>
      <c r="U3" s="75"/>
    </row>
    <row r="4" spans="2:21" s="1" customFormat="1">
      <c r="B4" s="80"/>
      <c r="C4" s="78"/>
      <c r="D4" s="78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8" t="s">
        <v>5</v>
      </c>
      <c r="N4" s="29" t="s">
        <v>6</v>
      </c>
      <c r="O4" s="29" t="s">
        <v>7</v>
      </c>
      <c r="P4" s="29" t="s">
        <v>8</v>
      </c>
      <c r="Q4" s="29" t="s">
        <v>13</v>
      </c>
      <c r="R4" s="29" t="s">
        <v>14</v>
      </c>
      <c r="S4" s="28" t="s">
        <v>15</v>
      </c>
      <c r="T4" s="27" t="s">
        <v>11</v>
      </c>
      <c r="U4" s="27" t="s">
        <v>16</v>
      </c>
    </row>
    <row r="5" spans="2:21">
      <c r="B5" s="7">
        <v>45931</v>
      </c>
      <c r="C5" s="3">
        <v>6.5000000000000002E-2</v>
      </c>
      <c r="D5" s="11">
        <v>1</v>
      </c>
      <c r="E5" s="3" t="s">
        <v>65</v>
      </c>
      <c r="F5" s="16">
        <f>AVERAGE('[1]011025'!C8:C9)</f>
        <v>4.2750000000000004</v>
      </c>
      <c r="G5" s="11">
        <f>AVERAGE('[1]011025'!D8:D9)</f>
        <v>0.22</v>
      </c>
      <c r="H5" s="16">
        <f>AVERAGE('[1]011025'!E8:E9)</f>
        <v>52.855000000000004</v>
      </c>
      <c r="I5" s="22">
        <f>AVERAGE('[1]011025'!F8:F9)</f>
        <v>2.2000000000000002</v>
      </c>
      <c r="J5" s="22">
        <f>AVERAGE('[1]011025'!G8:G9)</f>
        <v>456</v>
      </c>
      <c r="K5" s="12">
        <v>25.7</v>
      </c>
      <c r="L5" s="2" t="s">
        <v>19</v>
      </c>
      <c r="M5" s="11" t="s">
        <v>35</v>
      </c>
      <c r="N5" s="11">
        <v>6.483333333333334E-2</v>
      </c>
      <c r="O5" s="11">
        <v>1.2E-2</v>
      </c>
      <c r="P5" s="16">
        <v>52.949999999999996</v>
      </c>
      <c r="Q5" s="3">
        <v>0</v>
      </c>
      <c r="R5" s="17">
        <v>2.1000000000000005</v>
      </c>
      <c r="S5" s="17">
        <v>8</v>
      </c>
      <c r="T5" s="23">
        <v>3.4</v>
      </c>
      <c r="U5" s="2" t="s">
        <v>21</v>
      </c>
    </row>
    <row r="6" spans="2:21">
      <c r="B6" s="7">
        <f t="shared" ref="B6:B30" si="0">B5+1</f>
        <v>45932</v>
      </c>
      <c r="C6" s="3">
        <v>6.5000000000000002E-2</v>
      </c>
      <c r="D6" s="11">
        <v>1</v>
      </c>
      <c r="E6" s="3" t="s">
        <v>65</v>
      </c>
      <c r="F6" s="16">
        <f>AVERAGE('[1]021025'!C8:C9)</f>
        <v>4.2149999999999999</v>
      </c>
      <c r="G6" s="11">
        <f>AVERAGE('[1]021025'!D8:D9)</f>
        <v>0.22</v>
      </c>
      <c r="H6" s="16">
        <f>AVERAGE('[1]021025'!E8:E9)</f>
        <v>52.814999999999998</v>
      </c>
      <c r="I6" s="22">
        <f>AVERAGE('[1]021025'!F8:F9)</f>
        <v>2.1900000000000004</v>
      </c>
      <c r="J6" s="22">
        <f>AVERAGE('[1]021025'!G8:G9)</f>
        <v>459</v>
      </c>
      <c r="K6" s="12">
        <v>27.4</v>
      </c>
      <c r="L6" s="2" t="s">
        <v>19</v>
      </c>
      <c r="M6" s="16" t="s">
        <v>35</v>
      </c>
      <c r="N6" s="11">
        <v>6.6250000000000017E-2</v>
      </c>
      <c r="O6" s="11">
        <v>1.2500000000000001E-2</v>
      </c>
      <c r="P6" s="16">
        <v>52.954999999999998</v>
      </c>
      <c r="Q6" s="3">
        <v>0</v>
      </c>
      <c r="R6" s="17">
        <v>2.0583333333333336</v>
      </c>
      <c r="S6" s="17">
        <v>8</v>
      </c>
      <c r="T6" s="23">
        <v>2.4</v>
      </c>
      <c r="U6" s="2" t="s">
        <v>21</v>
      </c>
    </row>
    <row r="7" spans="2:21">
      <c r="B7" s="7">
        <f t="shared" si="0"/>
        <v>45933</v>
      </c>
      <c r="C7" s="3">
        <v>6.5000000000000002E-2</v>
      </c>
      <c r="D7" s="11">
        <v>0.9</v>
      </c>
      <c r="E7" s="3" t="s">
        <v>65</v>
      </c>
      <c r="F7" s="16">
        <f>AVERAGE('[1]031025'!C8:C9)</f>
        <v>4.375</v>
      </c>
      <c r="G7" s="11">
        <f>AVERAGE('[1]031025'!D8:D9)</f>
        <v>0.215</v>
      </c>
      <c r="H7" s="16">
        <f>AVERAGE('[1]031025'!E8:E9)</f>
        <v>52.834999999999994</v>
      </c>
      <c r="I7" s="22">
        <f>AVERAGE('[1]031025'!F8:F9)</f>
        <v>2.2149999999999999</v>
      </c>
      <c r="J7" s="22">
        <f>AVERAGE('[1]031025'!G8:G9)</f>
        <v>448.5</v>
      </c>
      <c r="K7" s="12">
        <v>29.8</v>
      </c>
      <c r="L7" s="2" t="s">
        <v>19</v>
      </c>
      <c r="M7" s="16" t="s">
        <v>66</v>
      </c>
      <c r="N7" s="11">
        <v>6.483333333333334E-2</v>
      </c>
      <c r="O7" s="11">
        <v>1.0999999999999999E-2</v>
      </c>
      <c r="P7" s="16">
        <v>52.94</v>
      </c>
      <c r="Q7" s="3">
        <v>0</v>
      </c>
      <c r="R7" s="17">
        <v>2.0916666666666672</v>
      </c>
      <c r="S7" s="17">
        <v>8</v>
      </c>
      <c r="T7" s="17">
        <v>2.5</v>
      </c>
      <c r="U7" s="2" t="s">
        <v>21</v>
      </c>
    </row>
    <row r="8" spans="2:21">
      <c r="B8" s="7">
        <f t="shared" si="0"/>
        <v>45934</v>
      </c>
      <c r="C8" s="11">
        <v>7.0000000000000007E-2</v>
      </c>
      <c r="D8" s="11">
        <v>1</v>
      </c>
      <c r="E8" s="3" t="s">
        <v>65</v>
      </c>
      <c r="F8" s="16">
        <f>AVERAGE('[1]041025'!C8:C9)</f>
        <v>4.2149999999999999</v>
      </c>
      <c r="G8" s="11">
        <f>AVERAGE('[1]041025'!D8:D9)</f>
        <v>0.22500000000000001</v>
      </c>
      <c r="H8" s="16">
        <f>AVERAGE('[1]041025'!E8:E9)</f>
        <v>52.81</v>
      </c>
      <c r="I8" s="22">
        <f>AVERAGE('[1]041025'!F8:F9)</f>
        <v>2.2350000000000003</v>
      </c>
      <c r="J8" s="22">
        <f>AVERAGE('[1]041025'!G8:G9)</f>
        <v>446.5</v>
      </c>
      <c r="K8" s="12">
        <v>30.7</v>
      </c>
      <c r="L8" s="2" t="s">
        <v>19</v>
      </c>
      <c r="M8" s="16" t="s">
        <v>66</v>
      </c>
      <c r="N8" s="11">
        <v>6.7749999999999991E-2</v>
      </c>
      <c r="O8" s="11">
        <v>1.2500000000000001E-2</v>
      </c>
      <c r="P8" s="16">
        <v>52.86</v>
      </c>
      <c r="Q8" s="3">
        <v>0</v>
      </c>
      <c r="R8" s="17">
        <v>2.1333333333333333</v>
      </c>
      <c r="S8" s="17">
        <v>8</v>
      </c>
      <c r="T8" s="17">
        <v>4.9000000000000004</v>
      </c>
      <c r="U8" s="2" t="s">
        <v>21</v>
      </c>
    </row>
    <row r="9" spans="2:21">
      <c r="B9" s="7">
        <f t="shared" si="0"/>
        <v>45935</v>
      </c>
      <c r="C9" s="11">
        <v>7.0000000000000007E-2</v>
      </c>
      <c r="D9" s="11">
        <v>1.2</v>
      </c>
      <c r="E9" s="3" t="s">
        <v>65</v>
      </c>
      <c r="F9" s="16">
        <f>AVERAGE('[1]051025'!C8:C9)</f>
        <v>4.1449999999999996</v>
      </c>
      <c r="G9" s="11">
        <f>AVERAGE('[1]051025'!D8:D9)</f>
        <v>0.22500000000000001</v>
      </c>
      <c r="H9" s="16">
        <f>AVERAGE('[1]051025'!E8:E9)</f>
        <v>52.74</v>
      </c>
      <c r="I9" s="22">
        <f>AVERAGE('[1]051025'!F8:F9)</f>
        <v>2.2450000000000001</v>
      </c>
      <c r="J9" s="22">
        <f>AVERAGE('[1]051025'!G8:G9)</f>
        <v>445</v>
      </c>
      <c r="K9" s="12">
        <v>28.2</v>
      </c>
      <c r="L9" s="2" t="s">
        <v>19</v>
      </c>
      <c r="M9" s="16" t="s">
        <v>67</v>
      </c>
      <c r="N9" s="11">
        <v>6.4416666666666678E-2</v>
      </c>
      <c r="O9" s="11">
        <v>1.2E-2</v>
      </c>
      <c r="P9" s="16">
        <v>52.83</v>
      </c>
      <c r="Q9" s="3">
        <v>0</v>
      </c>
      <c r="R9" s="17">
        <v>2.0916666666666672</v>
      </c>
      <c r="S9" s="17">
        <v>8</v>
      </c>
      <c r="T9" s="17">
        <v>3.4</v>
      </c>
      <c r="U9" s="2" t="s">
        <v>21</v>
      </c>
    </row>
    <row r="10" spans="2:21">
      <c r="B10" s="7">
        <f t="shared" si="0"/>
        <v>45936</v>
      </c>
      <c r="C10" s="11">
        <v>7.0000000000000007E-2</v>
      </c>
      <c r="D10" s="11">
        <v>1.1000000000000001</v>
      </c>
      <c r="E10" s="3" t="s">
        <v>65</v>
      </c>
      <c r="F10" s="16">
        <f>AVERAGE('[1]061025'!C8:C9)</f>
        <v>4.25</v>
      </c>
      <c r="G10" s="11">
        <f>AVERAGE('[1]061025'!D8:D9)</f>
        <v>0.215</v>
      </c>
      <c r="H10" s="16">
        <f>AVERAGE('[1]061025'!E8:E9)</f>
        <v>52.754999999999995</v>
      </c>
      <c r="I10" s="22">
        <f>AVERAGE('[1]061025'!F8:F9)</f>
        <v>2.2649999999999997</v>
      </c>
      <c r="J10" s="22">
        <f>AVERAGE('[1]061025'!G8:G9)</f>
        <v>459</v>
      </c>
      <c r="K10" s="17">
        <v>27</v>
      </c>
      <c r="L10" s="2" t="s">
        <v>19</v>
      </c>
      <c r="M10" s="16" t="s">
        <v>68</v>
      </c>
      <c r="N10" s="11">
        <v>6.1749999999999992E-2</v>
      </c>
      <c r="O10" s="11">
        <v>1.15E-2</v>
      </c>
      <c r="P10" s="16">
        <v>52.870000000000005</v>
      </c>
      <c r="Q10" s="3">
        <v>0</v>
      </c>
      <c r="R10" s="17">
        <v>2.0750000000000002</v>
      </c>
      <c r="S10" s="17">
        <v>8</v>
      </c>
      <c r="T10" s="17">
        <v>2</v>
      </c>
      <c r="U10" s="2" t="s">
        <v>21</v>
      </c>
    </row>
    <row r="11" spans="2:21">
      <c r="B11" s="7">
        <f t="shared" si="0"/>
        <v>45937</v>
      </c>
      <c r="C11" s="3">
        <v>7.4999999999999997E-2</v>
      </c>
      <c r="D11" s="11">
        <v>0.9</v>
      </c>
      <c r="E11" s="3" t="s">
        <v>65</v>
      </c>
      <c r="F11" s="16">
        <f>AVERAGE('[1]071025'!C8:C9)</f>
        <v>4.1750000000000007</v>
      </c>
      <c r="G11" s="11">
        <f>AVERAGE('[1]071025'!D8:D9)</f>
        <v>0.22</v>
      </c>
      <c r="H11" s="16">
        <f>AVERAGE('[1]071025'!E8:E9)</f>
        <v>52.55</v>
      </c>
      <c r="I11" s="22">
        <f>AVERAGE('[1]071025'!F8:F9)</f>
        <v>2.2199999999999998</v>
      </c>
      <c r="J11" s="22">
        <f>AVERAGE('[1]071025'!G8:G9)</f>
        <v>456.5</v>
      </c>
      <c r="K11" s="17">
        <v>26</v>
      </c>
      <c r="L11" s="2" t="s">
        <v>19</v>
      </c>
      <c r="M11" s="10" t="s">
        <v>69</v>
      </c>
      <c r="N11" s="11">
        <v>6.3500000000000001E-2</v>
      </c>
      <c r="O11" s="11">
        <v>1.2E-2</v>
      </c>
      <c r="P11" s="16">
        <v>52.636666666666663</v>
      </c>
      <c r="Q11" s="3">
        <v>0</v>
      </c>
      <c r="R11" s="17">
        <v>2.0833333333333335</v>
      </c>
      <c r="S11" s="17">
        <v>8</v>
      </c>
      <c r="T11" s="17">
        <v>2.1</v>
      </c>
      <c r="U11" s="2" t="s">
        <v>21</v>
      </c>
    </row>
    <row r="12" spans="2:21">
      <c r="B12" s="7">
        <f t="shared" si="0"/>
        <v>45938</v>
      </c>
      <c r="C12" s="3">
        <v>7.4999999999999997E-2</v>
      </c>
      <c r="D12" s="11">
        <v>0.9</v>
      </c>
      <c r="E12" s="3" t="s">
        <v>65</v>
      </c>
      <c r="F12" s="16">
        <f>AVERAGE('[1]081025'!C8:C9)</f>
        <v>3.9950000000000001</v>
      </c>
      <c r="G12" s="11">
        <f>AVERAGE('[1]081025'!D8:D9)</f>
        <v>0.21</v>
      </c>
      <c r="H12" s="16">
        <f>AVERAGE('[1]081025'!E8:E9)</f>
        <v>52.82</v>
      </c>
      <c r="I12" s="22">
        <f>AVERAGE('[1]081025'!F8:F9)</f>
        <v>2.23</v>
      </c>
      <c r="J12" s="22">
        <f>AVERAGE('[1]081025'!G8:G9)</f>
        <v>455</v>
      </c>
      <c r="K12" s="17">
        <v>25.3</v>
      </c>
      <c r="L12" s="2" t="s">
        <v>19</v>
      </c>
      <c r="M12" s="16" t="s">
        <v>20</v>
      </c>
      <c r="N12" s="11">
        <v>6.4500000000000002E-2</v>
      </c>
      <c r="O12" s="11">
        <v>1.0999999999999999E-2</v>
      </c>
      <c r="P12" s="16">
        <v>53.006666666666661</v>
      </c>
      <c r="Q12" s="3">
        <v>0</v>
      </c>
      <c r="R12" s="17">
        <v>2.0249999999999999</v>
      </c>
      <c r="S12" s="17">
        <v>8</v>
      </c>
      <c r="T12" s="17">
        <v>1.8</v>
      </c>
      <c r="U12" s="2" t="s">
        <v>21</v>
      </c>
    </row>
    <row r="13" spans="2:21">
      <c r="B13" s="7">
        <f t="shared" si="0"/>
        <v>45939</v>
      </c>
      <c r="C13" s="3">
        <v>7.4999999999999997E-2</v>
      </c>
      <c r="D13" s="11">
        <v>1</v>
      </c>
      <c r="E13" s="3" t="s">
        <v>65</v>
      </c>
      <c r="F13" s="16">
        <f>AVERAGE('[1]091025'!C8:C9)</f>
        <v>4.1899999999999995</v>
      </c>
      <c r="G13" s="11">
        <f>AVERAGE('[1]091025'!D8:D9)</f>
        <v>0.22</v>
      </c>
      <c r="H13" s="16">
        <f>AVERAGE('[1]091025'!E8:E9)</f>
        <v>52.879999999999995</v>
      </c>
      <c r="I13" s="22">
        <f>AVERAGE('[1]091025'!F8:F9)</f>
        <v>2.13</v>
      </c>
      <c r="J13" s="22">
        <f>AVERAGE('[1]091025'!G8:G9)</f>
        <v>440.5</v>
      </c>
      <c r="K13" s="17">
        <v>28.1</v>
      </c>
      <c r="L13" s="2" t="s">
        <v>19</v>
      </c>
      <c r="M13" s="16" t="s">
        <v>20</v>
      </c>
      <c r="N13" s="11">
        <v>6.4500000000000016E-2</v>
      </c>
      <c r="O13" s="11">
        <v>1.2500000000000001E-2</v>
      </c>
      <c r="P13" s="16">
        <v>52.976666666666667</v>
      </c>
      <c r="Q13" s="3">
        <v>0</v>
      </c>
      <c r="R13" s="17">
        <v>2.1083333333333338</v>
      </c>
      <c r="S13" s="17">
        <v>8</v>
      </c>
      <c r="T13" s="17">
        <v>3.1</v>
      </c>
      <c r="U13" s="2" t="s">
        <v>21</v>
      </c>
    </row>
    <row r="14" spans="2:21">
      <c r="B14" s="7">
        <f t="shared" si="0"/>
        <v>45940</v>
      </c>
      <c r="C14" s="3">
        <v>7.4999999999999997E-2</v>
      </c>
      <c r="D14" s="11">
        <v>1</v>
      </c>
      <c r="E14" s="3" t="s">
        <v>65</v>
      </c>
      <c r="F14" s="16">
        <f>AVERAGE('[1]101025'!C8:C9)</f>
        <v>4.12</v>
      </c>
      <c r="G14" s="11">
        <f>AVERAGE('[1]101025'!D8:D9)</f>
        <v>0.22500000000000001</v>
      </c>
      <c r="H14" s="16">
        <f>AVERAGE('[1]101025'!E8:E9)</f>
        <v>53.024999999999999</v>
      </c>
      <c r="I14" s="22">
        <f>AVERAGE('[1]101025'!F8:F9)</f>
        <v>2.27</v>
      </c>
      <c r="J14" s="22">
        <f>AVERAGE('[1]101025'!G8:G9)</f>
        <v>440.5</v>
      </c>
      <c r="K14" s="17">
        <v>26.9</v>
      </c>
      <c r="L14" s="2" t="s">
        <v>19</v>
      </c>
      <c r="M14" s="16" t="s">
        <v>20</v>
      </c>
      <c r="N14" s="11">
        <v>6.8000000000000005E-2</v>
      </c>
      <c r="O14" s="11">
        <v>1.2500000000000001E-2</v>
      </c>
      <c r="P14" s="16">
        <v>53.064999999999998</v>
      </c>
      <c r="Q14" s="3">
        <v>0</v>
      </c>
      <c r="R14" s="17">
        <v>2.1333333333333337</v>
      </c>
      <c r="S14" s="17">
        <v>8</v>
      </c>
      <c r="T14" s="17">
        <v>2.9</v>
      </c>
      <c r="U14" s="2" t="s">
        <v>21</v>
      </c>
    </row>
    <row r="15" spans="2:21">
      <c r="B15" s="7">
        <f t="shared" si="0"/>
        <v>45941</v>
      </c>
      <c r="C15" s="3">
        <v>7.4999999999999997E-2</v>
      </c>
      <c r="D15" s="11">
        <v>1</v>
      </c>
      <c r="E15" s="3" t="s">
        <v>65</v>
      </c>
      <c r="F15" s="16">
        <f>AVERAGE('[1]111025'!C8:C9)</f>
        <v>4.18</v>
      </c>
      <c r="G15" s="11">
        <f>AVERAGE('[1]111025'!D8:D9)</f>
        <v>0.23</v>
      </c>
      <c r="H15" s="16">
        <f>AVERAGE('[1]111025'!E8:E9)</f>
        <v>52.855000000000004</v>
      </c>
      <c r="I15" s="22">
        <f>AVERAGE('[1]111025'!F8:F9)</f>
        <v>2.2400000000000002</v>
      </c>
      <c r="J15" s="22">
        <f>AVERAGE('[1]111025'!G8:G9)</f>
        <v>446</v>
      </c>
      <c r="K15" s="17">
        <v>25</v>
      </c>
      <c r="L15" s="2" t="s">
        <v>19</v>
      </c>
      <c r="M15" s="16" t="s">
        <v>20</v>
      </c>
      <c r="N15" s="11">
        <v>6.8833333333333344E-2</v>
      </c>
      <c r="O15" s="11">
        <v>1.2E-2</v>
      </c>
      <c r="P15" s="16">
        <v>52.97</v>
      </c>
      <c r="Q15" s="3">
        <v>0</v>
      </c>
      <c r="R15" s="17">
        <v>2.0666666666666669</v>
      </c>
      <c r="S15" s="17">
        <v>8</v>
      </c>
      <c r="T15" s="17">
        <v>2.6</v>
      </c>
      <c r="U15" s="2" t="s">
        <v>21</v>
      </c>
    </row>
    <row r="16" spans="2:21">
      <c r="B16" s="7">
        <f t="shared" si="0"/>
        <v>45942</v>
      </c>
      <c r="C16" s="3">
        <v>7.4999999999999997E-2</v>
      </c>
      <c r="D16" s="11">
        <v>1</v>
      </c>
      <c r="E16" s="3" t="s">
        <v>65</v>
      </c>
      <c r="F16" s="16">
        <f>AVERAGE('[1]121025'!C8:C9)</f>
        <v>4.2550000000000008</v>
      </c>
      <c r="G16" s="11">
        <f>AVERAGE('[1]121025'!D8:D9)</f>
        <v>0.22</v>
      </c>
      <c r="H16" s="16">
        <f>AVERAGE('[1]121025'!E8:E9)</f>
        <v>52.71</v>
      </c>
      <c r="I16" s="22">
        <f>AVERAGE('[1]121025'!F8:F9)</f>
        <v>2.2649999999999997</v>
      </c>
      <c r="J16" s="22">
        <f>AVERAGE('[1]121025'!G8:G9)</f>
        <v>457</v>
      </c>
      <c r="K16" s="17">
        <v>26.9</v>
      </c>
      <c r="L16" s="2" t="s">
        <v>19</v>
      </c>
      <c r="M16" s="16" t="s">
        <v>20</v>
      </c>
      <c r="N16" s="11">
        <v>6.6818181818181832E-2</v>
      </c>
      <c r="O16" s="11">
        <v>1.2E-2</v>
      </c>
      <c r="P16" s="16">
        <v>52.805</v>
      </c>
      <c r="Q16" s="3">
        <v>0</v>
      </c>
      <c r="R16" s="17">
        <v>2.0636363636363639</v>
      </c>
      <c r="S16" s="17">
        <v>8</v>
      </c>
      <c r="T16" s="17">
        <v>3.2</v>
      </c>
      <c r="U16" s="2" t="s">
        <v>21</v>
      </c>
    </row>
    <row r="17" spans="2:21">
      <c r="B17" s="7">
        <f t="shared" si="0"/>
        <v>45943</v>
      </c>
      <c r="C17" s="3">
        <v>7.4999999999999997E-2</v>
      </c>
      <c r="D17" s="11">
        <v>0.95</v>
      </c>
      <c r="E17" s="3" t="s">
        <v>65</v>
      </c>
      <c r="F17" s="16">
        <f>AVERAGE('[1]131025'!C8:C9)</f>
        <v>4.2200000000000006</v>
      </c>
      <c r="G17" s="11">
        <f>AVERAGE('[1]131025'!D8:D9)</f>
        <v>0.22500000000000001</v>
      </c>
      <c r="H17" s="16">
        <f>AVERAGE('[1]131025'!E8:E9)</f>
        <v>52.62</v>
      </c>
      <c r="I17" s="22">
        <f>AVERAGE('[1]131025'!F8:F9)</f>
        <v>2.2250000000000001</v>
      </c>
      <c r="J17" s="22">
        <f>AVERAGE('[1]131025'!G8:G9)</f>
        <v>455</v>
      </c>
      <c r="K17" s="17">
        <v>25</v>
      </c>
      <c r="L17" s="2" t="s">
        <v>19</v>
      </c>
      <c r="M17" s="16" t="s">
        <v>20</v>
      </c>
      <c r="N17" s="11">
        <v>6.4769230769230773E-2</v>
      </c>
      <c r="O17" s="11">
        <v>1.2E-2</v>
      </c>
      <c r="P17" s="16">
        <v>52.519999999999996</v>
      </c>
      <c r="Q17" s="3">
        <v>0</v>
      </c>
      <c r="R17" s="17">
        <v>2.0538461538461541</v>
      </c>
      <c r="S17" s="17">
        <v>8</v>
      </c>
      <c r="T17" s="17">
        <v>2.2000000000000002</v>
      </c>
      <c r="U17" s="2" t="s">
        <v>21</v>
      </c>
    </row>
    <row r="18" spans="2:21">
      <c r="B18" s="7">
        <f t="shared" si="0"/>
        <v>45944</v>
      </c>
      <c r="C18" s="3">
        <v>7.4999999999999997E-2</v>
      </c>
      <c r="D18" s="11">
        <v>0.9</v>
      </c>
      <c r="E18" s="3" t="s">
        <v>65</v>
      </c>
      <c r="F18" s="16">
        <f>AVERAGE('[1]141025'!C8:C9)</f>
        <v>4.1500000000000004</v>
      </c>
      <c r="G18" s="11">
        <f>AVERAGE('[1]141025'!D8:D9)</f>
        <v>0.22</v>
      </c>
      <c r="H18" s="16">
        <f>AVERAGE('[1]141025'!E8:E9)</f>
        <v>52.6</v>
      </c>
      <c r="I18" s="22">
        <f>AVERAGE('[1]141025'!F8:F9)</f>
        <v>2.2149999999999999</v>
      </c>
      <c r="J18" s="22">
        <f>AVERAGE('[1]141025'!G8:G9)</f>
        <v>451</v>
      </c>
      <c r="K18" s="17">
        <v>25.8</v>
      </c>
      <c r="L18" s="2" t="s">
        <v>19</v>
      </c>
      <c r="M18" s="16" t="s">
        <v>20</v>
      </c>
      <c r="N18" s="11">
        <v>6.1000000000000019E-2</v>
      </c>
      <c r="O18" s="11">
        <v>1.0999999999999999E-2</v>
      </c>
      <c r="P18" s="16">
        <v>52.68</v>
      </c>
      <c r="Q18" s="3">
        <v>0</v>
      </c>
      <c r="R18" s="17">
        <v>2.0500000000000003</v>
      </c>
      <c r="S18" s="17">
        <v>8</v>
      </c>
      <c r="T18" s="17">
        <v>2.2999999999999998</v>
      </c>
      <c r="U18" s="2" t="s">
        <v>21</v>
      </c>
    </row>
    <row r="19" spans="2:21">
      <c r="B19" s="7">
        <f t="shared" si="0"/>
        <v>45945</v>
      </c>
      <c r="C19" s="3">
        <v>7.4999999999999997E-2</v>
      </c>
      <c r="D19" s="11">
        <v>0.95</v>
      </c>
      <c r="E19" s="3" t="s">
        <v>65</v>
      </c>
      <c r="F19" s="16">
        <f>AVERAGE('[1]151025'!C8:C9)</f>
        <v>4.0299999999999994</v>
      </c>
      <c r="G19" s="11">
        <f>AVERAGE('[1]151025'!D8:D9)</f>
        <v>0.22</v>
      </c>
      <c r="H19" s="16">
        <f>AVERAGE('[1]151025'!E8:E9)</f>
        <v>52.465000000000003</v>
      </c>
      <c r="I19" s="22">
        <f>AVERAGE('[1]151025'!F8:F9)</f>
        <v>2.2350000000000003</v>
      </c>
      <c r="J19" s="22">
        <f>AVERAGE('[1]151025'!G8:G9)</f>
        <v>458</v>
      </c>
      <c r="K19" s="17">
        <v>25.9</v>
      </c>
      <c r="L19" s="2" t="s">
        <v>19</v>
      </c>
      <c r="M19" s="16" t="s">
        <v>22</v>
      </c>
      <c r="N19" s="11">
        <v>5.9000000000000011E-2</v>
      </c>
      <c r="O19" s="11">
        <v>1.15E-2</v>
      </c>
      <c r="P19" s="16">
        <v>52.56</v>
      </c>
      <c r="Q19" s="3">
        <v>0</v>
      </c>
      <c r="R19" s="17">
        <v>2.0461538461538464</v>
      </c>
      <c r="S19" s="17">
        <v>8</v>
      </c>
      <c r="T19" s="17">
        <v>2.6</v>
      </c>
      <c r="U19" s="2" t="s">
        <v>21</v>
      </c>
    </row>
    <row r="20" spans="2:21">
      <c r="B20" s="7">
        <f t="shared" si="0"/>
        <v>45946</v>
      </c>
      <c r="C20" s="3">
        <v>7.4999999999999997E-2</v>
      </c>
      <c r="D20" s="11">
        <v>0.9</v>
      </c>
      <c r="E20" s="3" t="s">
        <v>65</v>
      </c>
      <c r="F20" s="16">
        <f>AVERAGE('[1]161025'!C8:C9)</f>
        <v>3.95</v>
      </c>
      <c r="G20" s="11">
        <f>AVERAGE('[1]161025'!D8:D9)</f>
        <v>0.22</v>
      </c>
      <c r="H20" s="16">
        <f>AVERAGE('[1]161025'!E8:E9)</f>
        <v>52.59</v>
      </c>
      <c r="I20" s="22">
        <v>2.3050000000000002</v>
      </c>
      <c r="J20" s="22">
        <v>469</v>
      </c>
      <c r="K20" s="17">
        <v>24.1</v>
      </c>
      <c r="L20" s="2" t="s">
        <v>19</v>
      </c>
      <c r="M20" s="16" t="s">
        <v>20</v>
      </c>
      <c r="N20" s="11">
        <v>6.0749999999999992E-2</v>
      </c>
      <c r="O20" s="11">
        <v>1.2E-2</v>
      </c>
      <c r="P20" s="16">
        <v>52.56</v>
      </c>
      <c r="Q20" s="3">
        <v>0</v>
      </c>
      <c r="R20" s="17">
        <v>1.9999999999999998</v>
      </c>
      <c r="S20" s="17">
        <v>8</v>
      </c>
      <c r="T20" s="17">
        <v>1.5</v>
      </c>
      <c r="U20" s="2" t="s">
        <v>21</v>
      </c>
    </row>
    <row r="21" spans="2:21">
      <c r="B21" s="7">
        <f t="shared" si="0"/>
        <v>45947</v>
      </c>
      <c r="C21" s="3">
        <v>7.4999999999999997E-2</v>
      </c>
      <c r="D21" s="11">
        <v>0.9</v>
      </c>
      <c r="E21" s="3" t="s">
        <v>65</v>
      </c>
      <c r="F21" s="16">
        <f>AVERAGE('[1]171025'!C8:C9)</f>
        <v>4.08</v>
      </c>
      <c r="G21" s="11">
        <f>AVERAGE('[1]171025'!D8:D9)</f>
        <v>0.22500000000000001</v>
      </c>
      <c r="H21" s="16">
        <f>AVERAGE('[1]171025'!E8:E9)</f>
        <v>52.575000000000003</v>
      </c>
      <c r="I21" s="22">
        <f>AVERAGE('[1]171025'!F8:F9)</f>
        <v>2.2800000000000002</v>
      </c>
      <c r="J21" s="22">
        <f>AVERAGE('[1]171025'!G8:G9)</f>
        <v>472</v>
      </c>
      <c r="K21" s="17">
        <v>23.8</v>
      </c>
      <c r="L21" s="2" t="s">
        <v>19</v>
      </c>
      <c r="M21" s="16" t="s">
        <v>20</v>
      </c>
      <c r="N21" s="11">
        <v>6.7615384615384605E-2</v>
      </c>
      <c r="O21" s="11">
        <v>1.2E-2</v>
      </c>
      <c r="P21" s="16">
        <v>52.65</v>
      </c>
      <c r="Q21" s="3">
        <v>0</v>
      </c>
      <c r="R21" s="17">
        <v>2</v>
      </c>
      <c r="S21" s="17">
        <v>8</v>
      </c>
      <c r="T21" s="17">
        <v>1.4</v>
      </c>
      <c r="U21" s="2" t="s">
        <v>21</v>
      </c>
    </row>
    <row r="22" spans="2:21">
      <c r="B22" s="7">
        <f t="shared" si="0"/>
        <v>45948</v>
      </c>
      <c r="C22" s="3">
        <v>7.4999999999999997E-2</v>
      </c>
      <c r="D22" s="11">
        <v>0.9</v>
      </c>
      <c r="E22" s="3" t="s">
        <v>65</v>
      </c>
      <c r="F22" s="16">
        <f>AVERAGE('[1]181025'!C8:C9)</f>
        <v>4.0299999999999994</v>
      </c>
      <c r="G22" s="11">
        <f>AVERAGE('[1]181025'!D8:D9)</f>
        <v>0.22500000000000001</v>
      </c>
      <c r="H22" s="16">
        <f>AVERAGE('[1]181025'!E8:E9)</f>
        <v>52.734999999999999</v>
      </c>
      <c r="I22" s="22">
        <f>AVERAGE('[1]181025'!F8:F9)</f>
        <v>2.3149999999999999</v>
      </c>
      <c r="J22" s="22">
        <f>AVERAGE('[1]181025'!G8:G9)</f>
        <v>484</v>
      </c>
      <c r="K22" s="17">
        <v>25.2</v>
      </c>
      <c r="L22" s="2" t="s">
        <v>19</v>
      </c>
      <c r="M22" s="16" t="s">
        <v>20</v>
      </c>
      <c r="N22" s="11">
        <v>6.2333333333333331E-2</v>
      </c>
      <c r="O22" s="11">
        <v>1.2E-2</v>
      </c>
      <c r="P22" s="16">
        <v>52.75</v>
      </c>
      <c r="Q22" s="3">
        <v>0</v>
      </c>
      <c r="R22" s="17">
        <v>2.0000000000000004</v>
      </c>
      <c r="S22" s="17">
        <v>8</v>
      </c>
      <c r="T22" s="17">
        <v>2.7</v>
      </c>
      <c r="U22" s="2" t="s">
        <v>21</v>
      </c>
    </row>
    <row r="23" spans="2:21">
      <c r="B23" s="7">
        <f t="shared" si="0"/>
        <v>45949</v>
      </c>
      <c r="C23" s="3">
        <v>7.4999999999999997E-2</v>
      </c>
      <c r="D23" s="11">
        <v>0.9</v>
      </c>
      <c r="E23" s="3" t="s">
        <v>65</v>
      </c>
      <c r="F23" s="16">
        <f>AVERAGE('[1]191025'!C8:C9)</f>
        <v>4.08</v>
      </c>
      <c r="G23" s="11">
        <f>AVERAGE('[1]191025'!D8:D9)</f>
        <v>0.22</v>
      </c>
      <c r="H23" s="16">
        <f>AVERAGE('[1]191025'!E8:E9)</f>
        <v>52.555</v>
      </c>
      <c r="I23" s="22">
        <f>AVERAGE('[1]191025'!F8:F9)</f>
        <v>2.2949999999999999</v>
      </c>
      <c r="J23" s="22">
        <f>AVERAGE('[1]191025'!G8:G9)</f>
        <v>472</v>
      </c>
      <c r="K23" s="17">
        <v>25.1</v>
      </c>
      <c r="L23" s="2" t="s">
        <v>19</v>
      </c>
      <c r="M23" s="16" t="s">
        <v>20</v>
      </c>
      <c r="N23" s="11">
        <v>5.9250000000000004E-2</v>
      </c>
      <c r="O23" s="11">
        <v>1.2E-2</v>
      </c>
      <c r="P23" s="16">
        <v>52.57</v>
      </c>
      <c r="Q23" s="3">
        <v>0</v>
      </c>
      <c r="R23" s="17">
        <v>2.0916666666666672</v>
      </c>
      <c r="S23" s="17">
        <v>8</v>
      </c>
      <c r="T23" s="17">
        <v>2.4</v>
      </c>
      <c r="U23" s="2" t="s">
        <v>21</v>
      </c>
    </row>
    <row r="24" spans="2:21">
      <c r="B24" s="7">
        <f t="shared" si="0"/>
        <v>45950</v>
      </c>
      <c r="C24" s="3">
        <v>7.4999999999999997E-2</v>
      </c>
      <c r="D24" s="11">
        <v>0.9</v>
      </c>
      <c r="E24" s="3" t="s">
        <v>65</v>
      </c>
      <c r="F24" s="16">
        <f>AVERAGE('[1]201025'!C8:C9)</f>
        <v>4.1750000000000007</v>
      </c>
      <c r="G24" s="11">
        <f>AVERAGE('[1]201025'!D8:D9)</f>
        <v>0.22499999999999998</v>
      </c>
      <c r="H24" s="16">
        <f>AVERAGE('[1]201025'!E8:E9)</f>
        <v>52.68</v>
      </c>
      <c r="I24" s="22">
        <f>AVERAGE('[1]201025'!F8:F9)</f>
        <v>2.2400000000000002</v>
      </c>
      <c r="J24" s="22">
        <f>AVERAGE('[1]201025'!G8:G9)</f>
        <v>456.5</v>
      </c>
      <c r="K24" s="17">
        <v>27.9</v>
      </c>
      <c r="L24" s="2" t="s">
        <v>19</v>
      </c>
      <c r="M24" s="16" t="s">
        <v>20</v>
      </c>
      <c r="N24" s="11">
        <v>0.06</v>
      </c>
      <c r="O24" s="11">
        <v>1.2E-2</v>
      </c>
      <c r="P24" s="16">
        <v>52.7</v>
      </c>
      <c r="Q24" s="3">
        <v>0</v>
      </c>
      <c r="R24" s="17">
        <v>2.0750000000000002</v>
      </c>
      <c r="S24" s="17">
        <v>8</v>
      </c>
      <c r="T24" s="17">
        <v>3.2</v>
      </c>
      <c r="U24" s="2" t="s">
        <v>21</v>
      </c>
    </row>
    <row r="25" spans="2:21">
      <c r="B25" s="7">
        <f t="shared" si="0"/>
        <v>45951</v>
      </c>
      <c r="C25" s="3">
        <v>7.4999999999999997E-2</v>
      </c>
      <c r="D25" s="11">
        <v>0.9</v>
      </c>
      <c r="E25" s="3" t="s">
        <v>65</v>
      </c>
      <c r="F25" s="16">
        <f>AVERAGE('[1]211025'!C8:C9)</f>
        <v>4.21</v>
      </c>
      <c r="G25" s="11">
        <f>AVERAGE('[1]211025'!D8:D9)</f>
        <v>0.21</v>
      </c>
      <c r="H25" s="16">
        <f>AVERAGE('[1]211025'!E8:E9)</f>
        <v>52.844999999999999</v>
      </c>
      <c r="I25" s="22">
        <f>AVERAGE('[1]211025'!F8:F9)</f>
        <v>2.0549999999999997</v>
      </c>
      <c r="J25" s="22">
        <f>AVERAGE('[1]211025'!G8:G9)</f>
        <v>454.5</v>
      </c>
      <c r="K25" s="17">
        <v>24.8</v>
      </c>
      <c r="L25" s="2" t="s">
        <v>19</v>
      </c>
      <c r="M25" s="16" t="s">
        <v>20</v>
      </c>
      <c r="N25" s="11">
        <v>5.7583333333333341E-2</v>
      </c>
      <c r="O25" s="11">
        <v>1.15E-2</v>
      </c>
      <c r="P25" s="16">
        <v>53.005000000000003</v>
      </c>
      <c r="Q25" s="3">
        <v>0</v>
      </c>
      <c r="R25" s="17">
        <v>2.0583333333333336</v>
      </c>
      <c r="S25" s="17">
        <v>8</v>
      </c>
      <c r="T25" s="17">
        <v>2.1</v>
      </c>
      <c r="U25" s="2" t="s">
        <v>21</v>
      </c>
    </row>
    <row r="26" spans="2:21">
      <c r="B26" s="7">
        <f t="shared" si="0"/>
        <v>45952</v>
      </c>
      <c r="C26" s="3">
        <v>7.4999999999999997E-2</v>
      </c>
      <c r="D26" s="11">
        <v>0.9</v>
      </c>
      <c r="E26" s="3" t="s">
        <v>65</v>
      </c>
      <c r="F26" s="16">
        <f>AVERAGE('[1]221025'!C8:C9)</f>
        <v>4.22</v>
      </c>
      <c r="G26" s="11">
        <f>AVERAGE('[1]221025'!D8:D9)</f>
        <v>0.22</v>
      </c>
      <c r="H26" s="16">
        <f>AVERAGE('[1]221025'!E8:E9)</f>
        <v>52.91</v>
      </c>
      <c r="I26" s="22">
        <f>AVERAGE('[1]221025'!F8:F9)</f>
        <v>2.2249999999999996</v>
      </c>
      <c r="J26" s="22">
        <f>AVERAGE('[1]221025'!G8:G9)</f>
        <v>451</v>
      </c>
      <c r="K26" s="17">
        <v>27.4</v>
      </c>
      <c r="L26" s="2" t="s">
        <v>19</v>
      </c>
      <c r="M26" s="16" t="s">
        <v>20</v>
      </c>
      <c r="N26" s="11">
        <v>6.3666666666666663E-2</v>
      </c>
      <c r="O26" s="11">
        <v>1.2500000000000001E-2</v>
      </c>
      <c r="P26" s="16">
        <v>52.95</v>
      </c>
      <c r="Q26" s="3">
        <v>0</v>
      </c>
      <c r="R26" s="17">
        <v>2.1076923076923082</v>
      </c>
      <c r="S26" s="17">
        <v>8</v>
      </c>
      <c r="T26" s="17">
        <v>2.2000000000000002</v>
      </c>
      <c r="U26" s="2" t="s">
        <v>21</v>
      </c>
    </row>
    <row r="27" spans="2:21">
      <c r="B27" s="7">
        <f t="shared" si="0"/>
        <v>45953</v>
      </c>
      <c r="C27" s="3">
        <v>7.4999999999999997E-2</v>
      </c>
      <c r="D27" s="11">
        <v>0.9</v>
      </c>
      <c r="E27" s="3" t="s">
        <v>65</v>
      </c>
      <c r="F27" s="16">
        <f>AVERAGE('[1]231025'!C8:C9)</f>
        <v>4.2100000000000009</v>
      </c>
      <c r="G27" s="11">
        <f>AVERAGE('[1]231025'!D8:D9)</f>
        <v>0.22499999999999998</v>
      </c>
      <c r="H27" s="16">
        <f>AVERAGE('[1]231025'!E8:E9)</f>
        <v>52.894999999999996</v>
      </c>
      <c r="I27" s="22">
        <f>AVERAGE('[1]231025'!F8:F9)</f>
        <v>2.3049999999999997</v>
      </c>
      <c r="J27" s="22">
        <f>AVERAGE('[1]231025'!G8:G9)</f>
        <v>473.5</v>
      </c>
      <c r="K27" s="17">
        <v>27.6</v>
      </c>
      <c r="L27" s="2" t="s">
        <v>19</v>
      </c>
      <c r="M27" s="16" t="s">
        <v>20</v>
      </c>
      <c r="N27" s="11">
        <v>6.2583333333333338E-2</v>
      </c>
      <c r="O27" s="11">
        <v>1.2999999999999999E-2</v>
      </c>
      <c r="P27" s="16">
        <v>52.905000000000001</v>
      </c>
      <c r="Q27" s="3">
        <v>0</v>
      </c>
      <c r="R27" s="17">
        <v>2.1250000000000004</v>
      </c>
      <c r="S27" s="17">
        <v>8</v>
      </c>
      <c r="T27" s="17">
        <v>3.2</v>
      </c>
      <c r="U27" s="2" t="s">
        <v>21</v>
      </c>
    </row>
    <row r="28" spans="2:21">
      <c r="B28" s="7">
        <f t="shared" si="0"/>
        <v>45954</v>
      </c>
      <c r="C28" s="3">
        <v>7.4999999999999997E-2</v>
      </c>
      <c r="D28" s="11">
        <v>0.9</v>
      </c>
      <c r="E28" s="3" t="s">
        <v>65</v>
      </c>
      <c r="F28" s="16">
        <f>AVERAGE('[1]241025'!C8:C9)</f>
        <v>4.1099999999999994</v>
      </c>
      <c r="G28" s="11">
        <f>AVERAGE('[1]241025'!D8:D9)</f>
        <v>0.22999999999999998</v>
      </c>
      <c r="H28" s="16">
        <f>AVERAGE('[1]241025'!E8:E9)</f>
        <v>52.879999999999995</v>
      </c>
      <c r="I28" s="22">
        <f>AVERAGE('[1]241025'!F8:F9)</f>
        <v>2.38</v>
      </c>
      <c r="J28" s="22">
        <f>AVERAGE('[1]241025'!G8:G9)</f>
        <v>463.5</v>
      </c>
      <c r="K28" s="17">
        <v>25.2</v>
      </c>
      <c r="L28" s="2" t="s">
        <v>19</v>
      </c>
      <c r="M28" s="16" t="s">
        <v>20</v>
      </c>
      <c r="N28" s="11">
        <v>6.4250000000000015E-2</v>
      </c>
      <c r="O28" s="11">
        <v>1.2E-2</v>
      </c>
      <c r="P28" s="16">
        <v>52.93</v>
      </c>
      <c r="Q28" s="3">
        <v>0</v>
      </c>
      <c r="R28" s="17">
        <v>2.0750000000000006</v>
      </c>
      <c r="S28" s="17">
        <v>8</v>
      </c>
      <c r="T28" s="17">
        <v>2.2000000000000002</v>
      </c>
      <c r="U28" s="2" t="s">
        <v>21</v>
      </c>
    </row>
    <row r="29" spans="2:21">
      <c r="B29" s="7">
        <f t="shared" si="0"/>
        <v>45955</v>
      </c>
      <c r="C29" s="3">
        <v>7.4999999999999997E-2</v>
      </c>
      <c r="D29" s="11">
        <v>0.95</v>
      </c>
      <c r="E29" s="3" t="s">
        <v>65</v>
      </c>
      <c r="F29" s="16">
        <f>AVERAGE('[1]251025'!C8:C9)</f>
        <v>4.2200000000000006</v>
      </c>
      <c r="G29" s="11">
        <f>AVERAGE('[1]251025'!D8:D9)</f>
        <v>0.21</v>
      </c>
      <c r="H29" s="16">
        <f>AVERAGE('[1]251025'!E8:E9)</f>
        <v>52.76</v>
      </c>
      <c r="I29" s="22">
        <f>AVERAGE('[1]251025'!F8:F9)</f>
        <v>2.25</v>
      </c>
      <c r="J29" s="22">
        <f>AVERAGE('[1]251025'!G8:G9)</f>
        <v>461.5</v>
      </c>
      <c r="K29" s="17">
        <v>26.8</v>
      </c>
      <c r="L29" s="2" t="s">
        <v>19</v>
      </c>
      <c r="M29" s="16" t="s">
        <v>22</v>
      </c>
      <c r="N29" s="11">
        <v>6.466666666666665E-2</v>
      </c>
      <c r="O29" s="11">
        <v>1.0999999999999999E-2</v>
      </c>
      <c r="P29" s="16">
        <v>52.859999999999992</v>
      </c>
      <c r="Q29" s="3">
        <v>0</v>
      </c>
      <c r="R29" s="17">
        <v>2.15</v>
      </c>
      <c r="S29" s="17">
        <v>8</v>
      </c>
      <c r="T29" s="17">
        <v>3.1</v>
      </c>
      <c r="U29" s="2" t="s">
        <v>21</v>
      </c>
    </row>
    <row r="30" spans="2:21">
      <c r="B30" s="7">
        <f t="shared" si="0"/>
        <v>45956</v>
      </c>
      <c r="C30" s="3">
        <v>7.4999999999999997E-2</v>
      </c>
      <c r="D30" s="11">
        <v>1.1000000000000001</v>
      </c>
      <c r="E30" s="3" t="s">
        <v>65</v>
      </c>
      <c r="F30" s="16">
        <f>AVERAGE('[1]261025'!C8:C9)</f>
        <v>2.3249999999999997</v>
      </c>
      <c r="G30" s="11">
        <f>AVERAGE('[1]261025'!D8:D9)</f>
        <v>0.21</v>
      </c>
      <c r="H30" s="16">
        <f>AVERAGE('[1]261025'!E8:E9)</f>
        <v>52.495000000000005</v>
      </c>
      <c r="I30" s="22">
        <f>AVERAGE('[1]261025'!F8:F9)</f>
        <v>2.2200000000000002</v>
      </c>
      <c r="J30" s="22">
        <f>AVERAGE('[1]261025'!G8:G9)</f>
        <v>442.5</v>
      </c>
      <c r="K30" s="17">
        <v>29.8</v>
      </c>
      <c r="L30" s="2" t="s">
        <v>19</v>
      </c>
      <c r="M30" s="16" t="s">
        <v>49</v>
      </c>
      <c r="N30" s="11">
        <v>6.1499999999999999E-2</v>
      </c>
      <c r="O30" s="11">
        <v>1.0999999999999999E-2</v>
      </c>
      <c r="P30" s="16">
        <v>52.230000000000004</v>
      </c>
      <c r="Q30" s="3">
        <v>0</v>
      </c>
      <c r="R30" s="17">
        <v>2.2166666666666672</v>
      </c>
      <c r="S30" s="17">
        <v>8</v>
      </c>
      <c r="T30" s="17">
        <v>3.3</v>
      </c>
      <c r="U30" s="2" t="s">
        <v>21</v>
      </c>
    </row>
    <row r="31" spans="2:21">
      <c r="B31" s="7">
        <f t="shared" ref="B31" si="1">B30+1</f>
        <v>45957</v>
      </c>
      <c r="C31" s="3">
        <v>7.4999999999999997E-2</v>
      </c>
      <c r="D31" s="11">
        <v>1.05</v>
      </c>
      <c r="E31" s="3" t="s">
        <v>65</v>
      </c>
      <c r="F31" s="16">
        <f>AVERAGE('[1]271025'!C8:C9)</f>
        <v>3.9449999999999998</v>
      </c>
      <c r="G31" s="11">
        <f>AVERAGE('[1]271025'!D8:D9)</f>
        <v>0.22</v>
      </c>
      <c r="H31" s="16">
        <f>AVERAGE('[1]271025'!E8:E9)</f>
        <v>52.510000000000005</v>
      </c>
      <c r="I31" s="22">
        <f>AVERAGE('[1]271025'!F8:F9)</f>
        <v>2.2149999999999999</v>
      </c>
      <c r="J31" s="22">
        <f>AVERAGE('[1]271025'!G8:G9)</f>
        <v>454.5</v>
      </c>
      <c r="K31" s="17">
        <v>29.8</v>
      </c>
      <c r="L31" s="2" t="s">
        <v>19</v>
      </c>
      <c r="M31" s="16" t="s">
        <v>45</v>
      </c>
      <c r="N31" s="11">
        <v>5.9230769230769233E-2</v>
      </c>
      <c r="O31" s="11">
        <v>1.2E-2</v>
      </c>
      <c r="P31" s="16">
        <v>52.339999999999996</v>
      </c>
      <c r="Q31" s="3">
        <v>0</v>
      </c>
      <c r="R31" s="17">
        <v>2.0384615384615383</v>
      </c>
      <c r="S31" s="17">
        <v>8</v>
      </c>
      <c r="T31" s="17">
        <v>2</v>
      </c>
      <c r="U31" s="2" t="s">
        <v>21</v>
      </c>
    </row>
    <row r="32" spans="2:21">
      <c r="B32" s="7">
        <f>B31+1</f>
        <v>45958</v>
      </c>
      <c r="C32" s="3">
        <v>7.4999999999999997E-2</v>
      </c>
      <c r="D32" s="11">
        <v>1</v>
      </c>
      <c r="E32" s="3" t="s">
        <v>65</v>
      </c>
      <c r="F32" s="16">
        <f>AVERAGE('[1]281025'!C8:C9)</f>
        <v>4</v>
      </c>
      <c r="G32" s="11">
        <f>AVERAGE('[1]281025'!D8:D9)</f>
        <v>0.22500000000000001</v>
      </c>
      <c r="H32" s="16">
        <f>AVERAGE('[1]281025'!E8:E9)</f>
        <v>52.825000000000003</v>
      </c>
      <c r="I32" s="22">
        <f>AVERAGE('[1]281025'!F8:F9)</f>
        <v>2.3049999999999997</v>
      </c>
      <c r="J32" s="22">
        <f>AVERAGE('[1]281025'!G8:G9)</f>
        <v>473.5</v>
      </c>
      <c r="K32" s="17">
        <v>30.5</v>
      </c>
      <c r="L32" s="2" t="s">
        <v>19</v>
      </c>
      <c r="M32" s="16" t="s">
        <v>49</v>
      </c>
      <c r="N32" s="11">
        <v>6.0846153846153841E-2</v>
      </c>
      <c r="O32" s="11">
        <v>1.2500000000000001E-2</v>
      </c>
      <c r="P32" s="16">
        <v>52.69</v>
      </c>
      <c r="Q32" s="3">
        <v>0</v>
      </c>
      <c r="R32" s="17">
        <v>2.0923076923076929</v>
      </c>
      <c r="S32" s="17">
        <v>8</v>
      </c>
      <c r="T32" s="24">
        <v>4</v>
      </c>
      <c r="U32" s="2" t="s">
        <v>21</v>
      </c>
    </row>
    <row r="33" spans="2:21">
      <c r="B33" s="5">
        <f>B32+1</f>
        <v>45959</v>
      </c>
      <c r="C33" s="3">
        <v>7.4999999999999997E-2</v>
      </c>
      <c r="D33" s="11">
        <v>1.1000000000000001</v>
      </c>
      <c r="E33" s="3" t="s">
        <v>65</v>
      </c>
      <c r="F33" s="3">
        <v>3.97</v>
      </c>
      <c r="G33" s="11">
        <v>0.22</v>
      </c>
      <c r="H33" s="3">
        <v>52.83</v>
      </c>
      <c r="I33" s="25">
        <v>2.21</v>
      </c>
      <c r="J33" s="22">
        <v>457</v>
      </c>
      <c r="K33" s="17">
        <v>41.1</v>
      </c>
      <c r="L33" s="2" t="s">
        <v>19</v>
      </c>
      <c r="M33" s="16" t="s">
        <v>20</v>
      </c>
      <c r="N33" s="11">
        <v>6.0999999999999999E-2</v>
      </c>
      <c r="O33" s="11">
        <v>1.2E-2</v>
      </c>
      <c r="P33" s="16">
        <v>52.91</v>
      </c>
      <c r="Q33" s="3">
        <v>0</v>
      </c>
      <c r="R33" s="17">
        <v>2</v>
      </c>
      <c r="S33" s="17">
        <v>8</v>
      </c>
      <c r="T33" s="17">
        <v>2.2000000000000002</v>
      </c>
      <c r="U33" s="2" t="s">
        <v>21</v>
      </c>
    </row>
    <row r="34" spans="2:21">
      <c r="B34" s="6">
        <v>45960</v>
      </c>
      <c r="C34" s="69" t="s">
        <v>70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</row>
    <row r="35" spans="2:21">
      <c r="B35" s="26">
        <v>45961</v>
      </c>
      <c r="C35" s="3">
        <v>7.4999999999999997E-2</v>
      </c>
      <c r="D35" s="11">
        <v>1</v>
      </c>
      <c r="E35" s="3" t="s">
        <v>65</v>
      </c>
      <c r="F35" s="16">
        <f>AVERAGE('[1]311025'!C8:C9)</f>
        <v>4.2300000000000004</v>
      </c>
      <c r="G35" s="11">
        <f>AVERAGE('[1]311025'!D8:D9)</f>
        <v>0.20500000000000002</v>
      </c>
      <c r="H35" s="3">
        <f>AVERAGE('[1]311025'!E8:E9)</f>
        <v>52.664999999999999</v>
      </c>
      <c r="I35" s="25">
        <f>AVERAGE('[1]311025'!F8:F9)</f>
        <v>2.1799999999999997</v>
      </c>
      <c r="J35" s="22">
        <f>AVERAGE('[1]311025'!G8:G9)</f>
        <v>456</v>
      </c>
      <c r="K35" s="3">
        <v>24.3</v>
      </c>
      <c r="L35" s="2" t="s">
        <v>19</v>
      </c>
      <c r="M35" s="16" t="s">
        <v>20</v>
      </c>
      <c r="N35" s="11">
        <v>5.9000000000000004E-2</v>
      </c>
      <c r="O35" s="11">
        <v>1.0999999999999999E-2</v>
      </c>
      <c r="P35" s="16">
        <v>52.19</v>
      </c>
      <c r="Q35" s="3">
        <v>0</v>
      </c>
      <c r="R35" s="17">
        <v>2.0625</v>
      </c>
      <c r="S35" s="17">
        <v>8</v>
      </c>
      <c r="T35" s="3">
        <v>1.8</v>
      </c>
      <c r="U35" s="2" t="s">
        <v>21</v>
      </c>
    </row>
    <row r="38" spans="2:21">
      <c r="B38" s="76" t="s">
        <v>71</v>
      </c>
      <c r="C38" s="76"/>
      <c r="D38" s="76"/>
    </row>
  </sheetData>
  <mergeCells count="7">
    <mergeCell ref="C34:U34"/>
    <mergeCell ref="E3:L3"/>
    <mergeCell ref="M3:U3"/>
    <mergeCell ref="B38:D38"/>
    <mergeCell ref="C3:C4"/>
    <mergeCell ref="B3:B4"/>
    <mergeCell ref="D3:D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CE68-3DBF-4233-9870-A0197F4F7A42}">
  <sheetPr codeName="Sheet11"/>
  <dimension ref="B3:V41"/>
  <sheetViews>
    <sheetView topLeftCell="F24" zoomScaleNormal="100" workbookViewId="0">
      <selection activeCell="L46" sqref="L46"/>
    </sheetView>
  </sheetViews>
  <sheetFormatPr defaultRowHeight="15"/>
  <cols>
    <col min="1" max="1" width="6.7109375" customWidth="1"/>
    <col min="2" max="4" width="15.7109375" style="4" customWidth="1"/>
    <col min="5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  <col min="22" max="22" width="9.140625" style="4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 s="1" customFormat="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 customHeight="1">
      <c r="B5" s="5">
        <v>45962</v>
      </c>
      <c r="C5" s="3">
        <v>7.4999999999999997E-2</v>
      </c>
      <c r="D5" s="11">
        <v>1</v>
      </c>
      <c r="E5" s="3" t="s">
        <v>65</v>
      </c>
      <c r="F5" s="8">
        <f>AVERAGE('[2]011125'!C8:C9)</f>
        <v>4.37</v>
      </c>
      <c r="G5" s="21">
        <f>AVERAGE('[2]011125'!D8:D9)</f>
        <v>0.215</v>
      </c>
      <c r="H5" s="8">
        <f>AVERAGE('[2]011125'!E8:E9)</f>
        <v>52.59</v>
      </c>
      <c r="I5" s="8">
        <f>AVERAGE('[2]011125'!F8:F9)</f>
        <v>2.2200000000000002</v>
      </c>
      <c r="J5" s="8">
        <f>AVERAGE('[2]011125'!G8:G9)</f>
        <v>446</v>
      </c>
      <c r="K5" s="12">
        <v>24.35</v>
      </c>
      <c r="L5" s="2" t="s">
        <v>19</v>
      </c>
      <c r="M5" s="3" t="s">
        <v>72</v>
      </c>
      <c r="N5" s="20">
        <v>6.2E-2</v>
      </c>
      <c r="O5" s="20">
        <v>1.0999999999999999E-2</v>
      </c>
      <c r="P5" s="13">
        <v>52.63</v>
      </c>
      <c r="Q5" s="14">
        <v>0</v>
      </c>
      <c r="R5" s="15">
        <v>2.1</v>
      </c>
      <c r="S5" s="17">
        <v>8</v>
      </c>
      <c r="T5" s="17">
        <v>1.8</v>
      </c>
      <c r="U5" s="2" t="s">
        <v>21</v>
      </c>
    </row>
    <row r="6" spans="2:21">
      <c r="B6" s="5">
        <v>45963</v>
      </c>
      <c r="C6" s="3">
        <v>7.4999999999999997E-2</v>
      </c>
      <c r="D6" s="11">
        <v>1</v>
      </c>
      <c r="E6" s="3" t="s">
        <v>65</v>
      </c>
      <c r="F6" s="8">
        <f>AVERAGE('[2]021125'!C8:C9)</f>
        <v>4.0299999999999994</v>
      </c>
      <c r="G6" s="21">
        <f>AVERAGE('[2]021125'!D8:D9)</f>
        <v>0.22</v>
      </c>
      <c r="H6" s="8">
        <f>AVERAGE('[2]021125'!E8:E9)</f>
        <v>52.8</v>
      </c>
      <c r="I6" s="9">
        <f>AVERAGE('[2]021125'!F8:F9)</f>
        <v>2.2000000000000002</v>
      </c>
      <c r="J6" s="9">
        <f>AVERAGE('[2]021125'!G8:G9)</f>
        <v>450</v>
      </c>
      <c r="K6" s="12">
        <v>25</v>
      </c>
      <c r="L6" s="2" t="s">
        <v>19</v>
      </c>
      <c r="M6" s="3" t="s">
        <v>72</v>
      </c>
      <c r="N6" s="11">
        <v>6.3E-2</v>
      </c>
      <c r="O6" s="11">
        <v>1.0999999999999999E-2</v>
      </c>
      <c r="P6" s="16">
        <v>52.94</v>
      </c>
      <c r="Q6" s="3">
        <v>0</v>
      </c>
      <c r="R6" s="17">
        <v>2.1</v>
      </c>
      <c r="S6" s="17">
        <v>8</v>
      </c>
      <c r="T6" s="17">
        <v>2.4</v>
      </c>
      <c r="U6" s="2" t="s">
        <v>21</v>
      </c>
    </row>
    <row r="7" spans="2:21">
      <c r="B7" s="5">
        <v>45964</v>
      </c>
      <c r="C7" s="11">
        <v>0.08</v>
      </c>
      <c r="D7" s="11">
        <v>0.9</v>
      </c>
      <c r="E7" s="3" t="s">
        <v>65</v>
      </c>
      <c r="F7" s="8">
        <f>AVERAGE('[2]031125'!C8:C9)</f>
        <v>4.1099999999999994</v>
      </c>
      <c r="G7" s="21">
        <f>AVERAGE('[2]031125'!D8:D9)</f>
        <v>0.22499999999999998</v>
      </c>
      <c r="H7" s="8">
        <f>AVERAGE('[2]031125'!E8:E9)</f>
        <v>52.66</v>
      </c>
      <c r="I7" s="9">
        <f>AVERAGE('[2]031125'!F8:F9)</f>
        <v>2.2650000000000001</v>
      </c>
      <c r="J7" s="9">
        <f>AVERAGE('[2]031125'!G8:G9)</f>
        <v>460.5</v>
      </c>
      <c r="K7" s="12">
        <v>27.35</v>
      </c>
      <c r="L7" s="2" t="s">
        <v>19</v>
      </c>
      <c r="M7" s="3" t="s">
        <v>72</v>
      </c>
      <c r="N7" s="11">
        <v>6.0999999999999999E-2</v>
      </c>
      <c r="O7" s="11">
        <v>1.2E-2</v>
      </c>
      <c r="P7" s="16">
        <v>52.62</v>
      </c>
      <c r="Q7" s="3">
        <v>0</v>
      </c>
      <c r="R7" s="17">
        <v>2.1</v>
      </c>
      <c r="S7" s="17">
        <v>8</v>
      </c>
      <c r="T7" s="17">
        <v>2.4</v>
      </c>
      <c r="U7" s="2" t="s">
        <v>21</v>
      </c>
    </row>
    <row r="8" spans="2:21">
      <c r="B8" s="5">
        <v>45965</v>
      </c>
      <c r="C8" s="11">
        <v>0.08</v>
      </c>
      <c r="D8" s="11">
        <v>0.9</v>
      </c>
      <c r="E8" s="3" t="s">
        <v>65</v>
      </c>
      <c r="F8" s="8">
        <f>AVERAGE('[2]041125'!C8:C9)</f>
        <v>4.08</v>
      </c>
      <c r="G8" s="21">
        <f>AVERAGE('[2]041125'!D8:D9)</f>
        <v>0.23499999999999999</v>
      </c>
      <c r="H8" s="8">
        <f>AVERAGE('[2]041125'!E8:E9)</f>
        <v>52.905000000000001</v>
      </c>
      <c r="I8" s="9">
        <f>AVERAGE('[2]041125'!F8:F9)</f>
        <v>2.2350000000000003</v>
      </c>
      <c r="J8" s="9">
        <f>AVERAGE('[2]041125'!G8:G9)</f>
        <v>452.5</v>
      </c>
      <c r="K8" s="12">
        <v>28.15</v>
      </c>
      <c r="L8" s="2" t="s">
        <v>19</v>
      </c>
      <c r="M8" s="3" t="s">
        <v>73</v>
      </c>
      <c r="N8" s="11">
        <v>6.0999999999999999E-2</v>
      </c>
      <c r="O8" s="11">
        <v>1.2E-2</v>
      </c>
      <c r="P8" s="16">
        <v>52.76</v>
      </c>
      <c r="Q8" s="3">
        <v>0</v>
      </c>
      <c r="R8" s="17">
        <v>2.1</v>
      </c>
      <c r="S8" s="17">
        <v>8</v>
      </c>
      <c r="T8" s="17">
        <v>3.5</v>
      </c>
      <c r="U8" s="2" t="s">
        <v>21</v>
      </c>
    </row>
    <row r="9" spans="2:21">
      <c r="B9" s="5">
        <v>45966</v>
      </c>
      <c r="C9" s="11">
        <v>8.5000000000000006E-2</v>
      </c>
      <c r="D9" s="11">
        <v>0.9</v>
      </c>
      <c r="E9" s="3" t="s">
        <v>65</v>
      </c>
      <c r="F9" s="8">
        <f>AVERAGE('[2]051125'!C8:C9)</f>
        <v>4.07</v>
      </c>
      <c r="G9" s="21">
        <f>AVERAGE('[2]051125'!D8:D9)</f>
        <v>0.22500000000000001</v>
      </c>
      <c r="H9" s="8">
        <f>AVERAGE('[2]051125'!E8:E9)</f>
        <v>52.58</v>
      </c>
      <c r="I9" s="9">
        <f>AVERAGE('[2]051125'!F8:F9)</f>
        <v>2.2800000000000002</v>
      </c>
      <c r="J9" s="9">
        <f>AVERAGE('[2]051125'!G8:G9)</f>
        <v>467.5</v>
      </c>
      <c r="K9" s="12">
        <v>26.25</v>
      </c>
      <c r="L9" s="2" t="s">
        <v>19</v>
      </c>
      <c r="M9" s="3" t="s">
        <v>72</v>
      </c>
      <c r="N9" s="11">
        <v>6.3E-2</v>
      </c>
      <c r="O9" s="11">
        <v>1.2999999999999999E-2</v>
      </c>
      <c r="P9" s="16">
        <v>52.62</v>
      </c>
      <c r="Q9" s="3">
        <v>0</v>
      </c>
      <c r="R9" s="17">
        <v>2</v>
      </c>
      <c r="S9" s="17">
        <v>8</v>
      </c>
      <c r="T9" s="17">
        <v>3.7</v>
      </c>
      <c r="U9" s="2" t="s">
        <v>21</v>
      </c>
    </row>
    <row r="10" spans="2:21">
      <c r="B10" s="5">
        <v>45967</v>
      </c>
      <c r="C10" s="11">
        <v>0.08</v>
      </c>
      <c r="D10" s="11">
        <v>1</v>
      </c>
      <c r="E10" s="3" t="s">
        <v>65</v>
      </c>
      <c r="F10" s="8">
        <f>AVERAGE('[2]061125'!C8:C9)</f>
        <v>3.9249999999999998</v>
      </c>
      <c r="G10" s="21">
        <f>AVERAGE('[2]061125'!D8:D9)</f>
        <v>0.215</v>
      </c>
      <c r="H10" s="8">
        <f>AVERAGE('[2]061125'!E8:E9)</f>
        <v>52.805</v>
      </c>
      <c r="I10" s="9">
        <f>AVERAGE('[2]061125'!F8:F9)</f>
        <v>2.2199999999999998</v>
      </c>
      <c r="J10" s="9">
        <f>AVERAGE('[2]061125'!G8:G9)</f>
        <v>452.5</v>
      </c>
      <c r="K10" s="12">
        <v>28.1</v>
      </c>
      <c r="L10" s="2" t="s">
        <v>19</v>
      </c>
      <c r="M10" s="3" t="s">
        <v>22</v>
      </c>
      <c r="N10" s="11">
        <v>6.6000000000000003E-2</v>
      </c>
      <c r="O10" s="11">
        <v>1.0999999999999999E-2</v>
      </c>
      <c r="P10" s="16">
        <v>52.91</v>
      </c>
      <c r="Q10" s="3">
        <v>0</v>
      </c>
      <c r="R10" s="17">
        <v>2.1</v>
      </c>
      <c r="S10" s="17">
        <v>8</v>
      </c>
      <c r="T10" s="17">
        <v>3.2</v>
      </c>
      <c r="U10" s="2" t="s">
        <v>21</v>
      </c>
    </row>
    <row r="11" spans="2:21">
      <c r="B11" s="5">
        <v>45968</v>
      </c>
      <c r="C11" s="3">
        <v>7.4999999999999997E-2</v>
      </c>
      <c r="D11" s="11">
        <v>1</v>
      </c>
      <c r="E11" s="3" t="s">
        <v>65</v>
      </c>
      <c r="F11" s="8">
        <f>AVERAGE('[2]071125'!C8:C9)</f>
        <v>3.9550000000000001</v>
      </c>
      <c r="G11" s="21">
        <f>AVERAGE('[2]071125'!D8:D9)</f>
        <v>0.215</v>
      </c>
      <c r="H11" s="8">
        <f>AVERAGE('[2]071125'!E8:E9)</f>
        <v>52.635000000000005</v>
      </c>
      <c r="I11" s="9">
        <f>AVERAGE('[2]071125'!F8:F9)</f>
        <v>2.2250000000000001</v>
      </c>
      <c r="J11" s="9">
        <f>AVERAGE('[2]071125'!G8:G9)</f>
        <v>466.5</v>
      </c>
      <c r="K11" s="12">
        <v>27.9</v>
      </c>
      <c r="L11" s="2" t="s">
        <v>19</v>
      </c>
      <c r="M11" s="3" t="s">
        <v>72</v>
      </c>
      <c r="N11" s="11">
        <v>6.2E-2</v>
      </c>
      <c r="O11" s="11">
        <v>1.0999999999999999E-2</v>
      </c>
      <c r="P11" s="16">
        <v>52.75</v>
      </c>
      <c r="Q11" s="3">
        <v>0</v>
      </c>
      <c r="R11" s="17">
        <v>2</v>
      </c>
      <c r="S11" s="17">
        <v>8</v>
      </c>
      <c r="T11" s="17">
        <v>3.4</v>
      </c>
      <c r="U11" s="2" t="s">
        <v>21</v>
      </c>
    </row>
    <row r="12" spans="2:21">
      <c r="B12" s="5">
        <v>45969</v>
      </c>
      <c r="C12" s="11">
        <v>7.0000000000000007E-2</v>
      </c>
      <c r="D12" s="11">
        <v>1</v>
      </c>
      <c r="E12" s="3" t="s">
        <v>74</v>
      </c>
      <c r="F12" s="8">
        <f>AVERAGE('[2]081125'!C8:C11)</f>
        <v>4.1949999999999994</v>
      </c>
      <c r="G12" s="21">
        <f>AVERAGE('[2]081125'!D8:D11)</f>
        <v>0.28749999999999998</v>
      </c>
      <c r="H12" s="8">
        <f>AVERAGE('[2]081125'!E8:E11)</f>
        <v>52.737499999999997</v>
      </c>
      <c r="I12" s="9">
        <f>AVERAGE('[2]081125'!F8:F11)</f>
        <v>2.1425000000000001</v>
      </c>
      <c r="J12" s="9">
        <f>AVERAGE('[2]081125'!G8:G11)</f>
        <v>451</v>
      </c>
      <c r="K12" s="12">
        <v>30.25</v>
      </c>
      <c r="L12" s="2" t="s">
        <v>19</v>
      </c>
      <c r="M12" s="3" t="s">
        <v>22</v>
      </c>
      <c r="N12" s="11">
        <v>6.2E-2</v>
      </c>
      <c r="O12" s="11">
        <v>1.2E-2</v>
      </c>
      <c r="P12" s="16">
        <v>52.79</v>
      </c>
      <c r="Q12" s="3">
        <v>0</v>
      </c>
      <c r="R12" s="17">
        <v>2.1</v>
      </c>
      <c r="S12" s="17">
        <v>8</v>
      </c>
      <c r="T12" s="17">
        <v>3.6</v>
      </c>
      <c r="U12" s="2" t="s">
        <v>21</v>
      </c>
    </row>
    <row r="13" spans="2:21">
      <c r="B13" s="5">
        <v>45970</v>
      </c>
      <c r="C13" s="11">
        <v>7.0000000000000007E-2</v>
      </c>
      <c r="D13" s="11">
        <v>1</v>
      </c>
      <c r="E13" s="3" t="s">
        <v>65</v>
      </c>
      <c r="F13" s="8">
        <f>AVERAGE('[2]091125'!C8:C9)</f>
        <v>3.87</v>
      </c>
      <c r="G13" s="21">
        <f>AVERAGE('[2]091125'!D8:D9)</f>
        <v>0.23499999999999999</v>
      </c>
      <c r="H13" s="8">
        <f>AVERAGE('[2]091125'!E8:E9)</f>
        <v>52.685000000000002</v>
      </c>
      <c r="I13" s="9">
        <f>AVERAGE('[2]091125'!F8:F9)</f>
        <v>2.17</v>
      </c>
      <c r="J13" s="9">
        <f>AVERAGE('[2]091125'!G8:G9)</f>
        <v>485</v>
      </c>
      <c r="K13" s="12">
        <v>27.55</v>
      </c>
      <c r="L13" s="2" t="s">
        <v>19</v>
      </c>
      <c r="M13" s="3" t="s">
        <v>72</v>
      </c>
      <c r="N13" s="11">
        <v>5.7000000000000002E-2</v>
      </c>
      <c r="O13" s="11">
        <v>1.2E-2</v>
      </c>
      <c r="P13" s="16">
        <v>52.74</v>
      </c>
      <c r="Q13" s="3">
        <v>0</v>
      </c>
      <c r="R13" s="17">
        <v>2</v>
      </c>
      <c r="S13" s="17">
        <v>8</v>
      </c>
      <c r="T13" s="17">
        <v>3.4</v>
      </c>
      <c r="U13" s="2" t="s">
        <v>21</v>
      </c>
    </row>
    <row r="14" spans="2:21">
      <c r="B14" s="5">
        <v>45971</v>
      </c>
      <c r="C14" s="11">
        <v>7.0000000000000007E-2</v>
      </c>
      <c r="D14" s="11">
        <v>1</v>
      </c>
      <c r="E14" s="3" t="s">
        <v>74</v>
      </c>
      <c r="F14" s="8">
        <f>AVERAGE('[2]101125'!C8:C11)</f>
        <v>4.1675000000000004</v>
      </c>
      <c r="G14" s="21">
        <f>AVERAGE('[2]101125'!D8:D11)</f>
        <v>0.36499999999999999</v>
      </c>
      <c r="H14" s="8">
        <f>AVERAGE('[2]101125'!E8:E11)</f>
        <v>52.772500000000001</v>
      </c>
      <c r="I14" s="9">
        <f>AVERAGE('[2]101125'!F8:F11)</f>
        <v>2.2224999999999997</v>
      </c>
      <c r="J14" s="9">
        <f>AVERAGE('[2]101125'!G8:G11)</f>
        <v>460.25</v>
      </c>
      <c r="K14" s="12">
        <v>31.85</v>
      </c>
      <c r="L14" s="2" t="s">
        <v>19</v>
      </c>
      <c r="M14" s="3" t="s">
        <v>72</v>
      </c>
      <c r="N14" s="11">
        <v>6.2E-2</v>
      </c>
      <c r="O14" s="11">
        <v>1.0999999999999999E-2</v>
      </c>
      <c r="P14" s="16">
        <v>52.87</v>
      </c>
      <c r="Q14" s="3">
        <v>0</v>
      </c>
      <c r="R14" s="17">
        <v>2</v>
      </c>
      <c r="S14" s="17">
        <v>8</v>
      </c>
      <c r="T14" s="17">
        <v>3</v>
      </c>
      <c r="U14" s="2" t="s">
        <v>21</v>
      </c>
    </row>
    <row r="15" spans="2:21">
      <c r="B15" s="5">
        <v>45972</v>
      </c>
      <c r="C15" s="11">
        <v>7.0000000000000007E-2</v>
      </c>
      <c r="D15" s="11">
        <v>1</v>
      </c>
      <c r="E15" s="3" t="s">
        <v>65</v>
      </c>
      <c r="F15" s="8">
        <f>AVERAGE('[2]111125'!C8:C9)</f>
        <v>3.89</v>
      </c>
      <c r="G15" s="21">
        <f>AVERAGE('[2]111125'!D8:D9)</f>
        <v>0.22</v>
      </c>
      <c r="H15" s="8">
        <f>AVERAGE('[2]111125'!E8:E9)</f>
        <v>52.58</v>
      </c>
      <c r="I15" s="9">
        <f>AVERAGE('[2]111125'!F8:F9)</f>
        <v>2.2850000000000001</v>
      </c>
      <c r="J15" s="9">
        <f>AVERAGE('[2]111125'!G8:G9)</f>
        <v>462.5</v>
      </c>
      <c r="K15" s="12">
        <v>28.15</v>
      </c>
      <c r="L15" s="2" t="s">
        <v>19</v>
      </c>
      <c r="M15" s="3" t="s">
        <v>73</v>
      </c>
      <c r="N15" s="11">
        <v>6.2E-2</v>
      </c>
      <c r="O15" s="11">
        <v>1.2E-2</v>
      </c>
      <c r="P15" s="16">
        <v>52.47</v>
      </c>
      <c r="Q15" s="3">
        <v>0</v>
      </c>
      <c r="R15" s="17">
        <v>1.9</v>
      </c>
      <c r="S15" s="17">
        <v>8</v>
      </c>
      <c r="T15" s="17">
        <v>3.6</v>
      </c>
      <c r="U15" s="2" t="s">
        <v>21</v>
      </c>
    </row>
    <row r="16" spans="2:21">
      <c r="B16" s="5">
        <v>45973</v>
      </c>
      <c r="C16" s="11">
        <v>7.0000000000000007E-2</v>
      </c>
      <c r="D16" s="11">
        <v>1</v>
      </c>
      <c r="E16" s="3" t="s">
        <v>65</v>
      </c>
      <c r="F16" s="8">
        <f>AVERAGE('[2]121125'!C8:C9)</f>
        <v>3.9400000000000004</v>
      </c>
      <c r="G16" s="21">
        <f>AVERAGE('[2]121125'!D8:D9)</f>
        <v>0.22</v>
      </c>
      <c r="H16" s="8">
        <f>AVERAGE('[2]121125'!E8:E9)</f>
        <v>52.704999999999998</v>
      </c>
      <c r="I16" s="9">
        <f>AVERAGE('[2]121125'!F8:F9)</f>
        <v>2.3149999999999999</v>
      </c>
      <c r="J16" s="9">
        <f>AVERAGE('[2]121125'!G8:G9)</f>
        <v>457</v>
      </c>
      <c r="K16" s="12">
        <v>29</v>
      </c>
      <c r="L16" s="2" t="s">
        <v>19</v>
      </c>
      <c r="M16" s="3" t="s">
        <v>45</v>
      </c>
      <c r="N16" s="11">
        <v>6.2E-2</v>
      </c>
      <c r="O16" s="11">
        <v>1.2999999999999999E-2</v>
      </c>
      <c r="P16" s="16">
        <v>52.52</v>
      </c>
      <c r="Q16" s="3">
        <v>0</v>
      </c>
      <c r="R16" s="17">
        <v>1.9</v>
      </c>
      <c r="S16" s="17">
        <v>0</v>
      </c>
      <c r="T16" s="17">
        <v>3.1</v>
      </c>
      <c r="U16" s="2" t="s">
        <v>21</v>
      </c>
    </row>
    <row r="17" spans="2:21">
      <c r="B17" s="5">
        <v>45974</v>
      </c>
      <c r="C17" s="11">
        <v>7.0000000000000007E-2</v>
      </c>
      <c r="D17" s="11">
        <v>1.1000000000000001</v>
      </c>
      <c r="E17" s="3" t="s">
        <v>65</v>
      </c>
      <c r="F17" s="8">
        <f>AVERAGE('[2]131125'!C8:C9)</f>
        <v>4.0649999999999995</v>
      </c>
      <c r="G17" s="21">
        <f>AVERAGE('[2]131125'!D8:D9)</f>
        <v>0.215</v>
      </c>
      <c r="H17" s="8">
        <f>AVERAGE('[2]131125'!E8:E9)</f>
        <v>52.650000000000006</v>
      </c>
      <c r="I17" s="9">
        <f>AVERAGE('[2]131125'!F8:F9)</f>
        <v>2.3049999999999997</v>
      </c>
      <c r="J17" s="9">
        <f>AVERAGE('[2]131125'!G8:G9)</f>
        <v>469</v>
      </c>
      <c r="K17" s="12">
        <v>31.85</v>
      </c>
      <c r="L17" s="2" t="s">
        <v>19</v>
      </c>
      <c r="M17" s="3" t="s">
        <v>22</v>
      </c>
      <c r="N17" s="11">
        <v>6.9000000000000006E-2</v>
      </c>
      <c r="O17" s="11">
        <v>1.2E-2</v>
      </c>
      <c r="P17" s="16">
        <v>52.75</v>
      </c>
      <c r="Q17" s="3">
        <v>0</v>
      </c>
      <c r="R17" s="17">
        <v>2</v>
      </c>
      <c r="S17" s="17">
        <v>8</v>
      </c>
      <c r="T17" s="17">
        <v>3.6</v>
      </c>
      <c r="U17" s="2" t="s">
        <v>21</v>
      </c>
    </row>
    <row r="18" spans="2:21">
      <c r="B18" s="5">
        <v>45975</v>
      </c>
      <c r="C18" s="3">
        <v>6.5000000000000002E-2</v>
      </c>
      <c r="D18" s="11">
        <v>1.1000000000000001</v>
      </c>
      <c r="E18" s="3" t="s">
        <v>74</v>
      </c>
      <c r="F18" s="8">
        <f>AVERAGE('[2]141125'!C8:C11)</f>
        <v>3.8025000000000002</v>
      </c>
      <c r="G18" s="21">
        <f>AVERAGE('[2]141125'!D8:D11)</f>
        <v>0.52</v>
      </c>
      <c r="H18" s="8">
        <f>AVERAGE('[2]141125'!E8:E11)</f>
        <v>52.75</v>
      </c>
      <c r="I18" s="9">
        <f>AVERAGE('[2]141125'!F8:F11)</f>
        <v>2.2024999999999997</v>
      </c>
      <c r="J18" s="9">
        <f>AVERAGE('[2]141125'!G8:G11)</f>
        <v>453.75</v>
      </c>
      <c r="K18" s="12">
        <v>27.33</v>
      </c>
      <c r="L18" s="2" t="s">
        <v>19</v>
      </c>
      <c r="M18" s="3" t="s">
        <v>72</v>
      </c>
      <c r="N18" s="11">
        <v>5.8000000000000003E-2</v>
      </c>
      <c r="O18" s="11">
        <v>1.2999999999999999E-2</v>
      </c>
      <c r="P18" s="16">
        <v>52.89</v>
      </c>
      <c r="Q18" s="3">
        <v>0</v>
      </c>
      <c r="R18" s="17">
        <v>1.8</v>
      </c>
      <c r="S18" s="17">
        <v>8</v>
      </c>
      <c r="T18" s="17">
        <v>2.4</v>
      </c>
      <c r="U18" s="2" t="s">
        <v>21</v>
      </c>
    </row>
    <row r="19" spans="2:21">
      <c r="B19" s="5">
        <v>45976</v>
      </c>
      <c r="C19" s="11">
        <v>7.0000000000000007E-2</v>
      </c>
      <c r="D19" s="11">
        <v>1.1000000000000001</v>
      </c>
      <c r="E19" s="3" t="s">
        <v>65</v>
      </c>
      <c r="F19" s="8">
        <f>AVERAGE('[2]151125'!C8:C9)</f>
        <v>3.91</v>
      </c>
      <c r="G19" s="21">
        <f>AVERAGE('[2]151125'!D8:D9)</f>
        <v>0.22500000000000001</v>
      </c>
      <c r="H19" s="8">
        <f>AVERAGE('[2]151125'!E8:E9)</f>
        <v>52.58</v>
      </c>
      <c r="I19" s="9">
        <f>AVERAGE('[2]151125'!F8:F9)</f>
        <v>2.2250000000000001</v>
      </c>
      <c r="J19" s="9">
        <f>AVERAGE('[2]151125'!G8:G9)</f>
        <v>449.5</v>
      </c>
      <c r="K19" s="12">
        <v>27.25</v>
      </c>
      <c r="L19" s="2" t="s">
        <v>19</v>
      </c>
      <c r="M19" s="3" t="s">
        <v>72</v>
      </c>
      <c r="N19" s="11">
        <v>6.5000000000000002E-2</v>
      </c>
      <c r="O19" s="11">
        <v>1.2999999999999999E-2</v>
      </c>
      <c r="P19" s="16">
        <v>52.64</v>
      </c>
      <c r="Q19" s="3">
        <v>0</v>
      </c>
      <c r="R19" s="17">
        <v>1.9</v>
      </c>
      <c r="S19" s="17">
        <v>8</v>
      </c>
      <c r="T19" s="17">
        <v>3.2</v>
      </c>
      <c r="U19" s="2" t="s">
        <v>21</v>
      </c>
    </row>
    <row r="20" spans="2:21">
      <c r="B20" s="5">
        <v>45977</v>
      </c>
      <c r="C20" s="3">
        <v>7.4999999999999997E-2</v>
      </c>
      <c r="D20" s="11">
        <v>1.1000000000000001</v>
      </c>
      <c r="E20" s="3" t="s">
        <v>65</v>
      </c>
      <c r="F20" s="8">
        <f>AVERAGE('[2]161125'!C8:C9)</f>
        <v>4.0200000000000005</v>
      </c>
      <c r="G20" s="21">
        <f>AVERAGE('[2]161125'!D8:D9)</f>
        <v>0.22500000000000001</v>
      </c>
      <c r="H20" s="8">
        <f>AVERAGE('[2]161125'!E8:E9)</f>
        <v>52.89</v>
      </c>
      <c r="I20" s="9">
        <f>AVERAGE('[2]161125'!F8:F9)</f>
        <v>2.2749999999999999</v>
      </c>
      <c r="J20" s="9">
        <f>AVERAGE('[2]161125'!G8:G9)</f>
        <v>456.5</v>
      </c>
      <c r="K20" s="12">
        <v>29</v>
      </c>
      <c r="L20" s="2" t="s">
        <v>19</v>
      </c>
      <c r="M20" s="3" t="s">
        <v>72</v>
      </c>
      <c r="N20" s="11">
        <v>6.4000000000000001E-2</v>
      </c>
      <c r="O20" s="11">
        <v>1.2E-2</v>
      </c>
      <c r="P20" s="16">
        <v>52.95</v>
      </c>
      <c r="Q20" s="3">
        <v>0</v>
      </c>
      <c r="R20" s="17">
        <v>1.9</v>
      </c>
      <c r="S20" s="17">
        <v>8</v>
      </c>
      <c r="T20" s="17">
        <v>3.4</v>
      </c>
      <c r="U20" s="2" t="s">
        <v>21</v>
      </c>
    </row>
    <row r="21" spans="2:21">
      <c r="B21" s="5">
        <v>45978</v>
      </c>
      <c r="C21" s="11">
        <v>7.0000000000000007E-2</v>
      </c>
      <c r="D21" s="11">
        <v>1</v>
      </c>
      <c r="E21" s="3" t="s">
        <v>65</v>
      </c>
      <c r="F21" s="8">
        <f>AVERAGE('[2]171125'!C8:C9)</f>
        <v>3.99</v>
      </c>
      <c r="G21" s="21">
        <f>AVERAGE('[2]171125'!D8:D9)</f>
        <v>0.21500000000000002</v>
      </c>
      <c r="H21" s="8">
        <f>AVERAGE('[2]171125'!E8:E9)</f>
        <v>52.34</v>
      </c>
      <c r="I21" s="9">
        <f>AVERAGE('[2]171125'!F8:F9)</f>
        <v>2.2949999999999999</v>
      </c>
      <c r="J21" s="9">
        <f>AVERAGE('[2]171125'!G8:G9)</f>
        <v>470</v>
      </c>
      <c r="K21" s="12">
        <v>27.95</v>
      </c>
      <c r="L21" s="2" t="s">
        <v>19</v>
      </c>
      <c r="M21" s="3" t="s">
        <v>72</v>
      </c>
      <c r="N21" s="11">
        <v>6.2E-2</v>
      </c>
      <c r="O21" s="11">
        <v>1.2999999999999999E-2</v>
      </c>
      <c r="P21" s="16">
        <v>52.74</v>
      </c>
      <c r="Q21" s="3">
        <v>0</v>
      </c>
      <c r="R21" s="17">
        <v>1.8</v>
      </c>
      <c r="S21" s="17">
        <v>8</v>
      </c>
      <c r="T21" s="17">
        <v>2.4</v>
      </c>
      <c r="U21" s="2" t="s">
        <v>21</v>
      </c>
    </row>
    <row r="22" spans="2:21">
      <c r="B22" s="5">
        <v>45979</v>
      </c>
      <c r="C22" s="11">
        <v>7.0000000000000007E-2</v>
      </c>
      <c r="D22" s="11">
        <v>0.9</v>
      </c>
      <c r="E22" s="3" t="s">
        <v>65</v>
      </c>
      <c r="F22" s="8">
        <f>AVERAGE('[2]181125'!C8:C9)</f>
        <v>3.9749999999999996</v>
      </c>
      <c r="G22" s="21">
        <f>AVERAGE('[2]181125'!D8:D9)</f>
        <v>0.22</v>
      </c>
      <c r="H22" s="8">
        <f>AVERAGE('[2]181125'!E8:E9)</f>
        <v>52.540000000000006</v>
      </c>
      <c r="I22" s="8">
        <f>AVERAGE('[2]181125'!F8:F9)</f>
        <v>2.2650000000000001</v>
      </c>
      <c r="J22" s="9">
        <v>469</v>
      </c>
      <c r="K22" s="12">
        <v>28.8</v>
      </c>
      <c r="L22" s="2" t="s">
        <v>19</v>
      </c>
      <c r="M22" s="3" t="s">
        <v>75</v>
      </c>
      <c r="N22" s="11">
        <v>6.0999999999999999E-2</v>
      </c>
      <c r="O22" s="11">
        <v>1.2E-2</v>
      </c>
      <c r="P22" s="16">
        <v>52.57</v>
      </c>
      <c r="Q22" s="3">
        <v>0</v>
      </c>
      <c r="R22" s="17">
        <v>1.7</v>
      </c>
      <c r="S22" s="17">
        <v>8</v>
      </c>
      <c r="T22" s="17">
        <v>2.9</v>
      </c>
      <c r="U22" s="2" t="s">
        <v>21</v>
      </c>
    </row>
    <row r="23" spans="2:21">
      <c r="B23" s="5">
        <v>45980</v>
      </c>
      <c r="C23" s="11">
        <v>7.0000000000000007E-2</v>
      </c>
      <c r="D23" s="11">
        <v>0.9</v>
      </c>
      <c r="E23" s="3" t="s">
        <v>65</v>
      </c>
      <c r="F23" s="8">
        <f>AVERAGE('[2]191125'!C8:C9)</f>
        <v>4.0049999999999999</v>
      </c>
      <c r="G23" s="21">
        <f>AVERAGE('[2]191125'!D8:D9)</f>
        <v>0.215</v>
      </c>
      <c r="H23" s="8">
        <f>AVERAGE('[2]191125'!E8:E9)</f>
        <v>52.519999999999996</v>
      </c>
      <c r="I23" s="9">
        <f>AVERAGE('[2]191125'!F8:F9)</f>
        <v>2.2949999999999999</v>
      </c>
      <c r="J23" s="9">
        <f>AVERAGE('[2]191125'!G8:G9)</f>
        <v>472</v>
      </c>
      <c r="K23" s="12">
        <v>29</v>
      </c>
      <c r="L23" s="2" t="s">
        <v>19</v>
      </c>
      <c r="M23" s="3" t="s">
        <v>72</v>
      </c>
      <c r="N23" s="11">
        <v>6.0999999999999999E-2</v>
      </c>
      <c r="O23" s="11">
        <v>1.0999999999999999E-2</v>
      </c>
      <c r="P23" s="16">
        <v>52.53</v>
      </c>
      <c r="Q23" s="3">
        <v>0</v>
      </c>
      <c r="R23" s="17">
        <v>1.7</v>
      </c>
      <c r="S23" s="17">
        <v>8</v>
      </c>
      <c r="T23" s="17">
        <v>2.8</v>
      </c>
      <c r="U23" s="2" t="s">
        <v>21</v>
      </c>
    </row>
    <row r="24" spans="2:21">
      <c r="B24" s="5">
        <v>45981</v>
      </c>
      <c r="C24" s="11">
        <v>7.0000000000000007E-2</v>
      </c>
      <c r="D24" s="11">
        <v>1</v>
      </c>
      <c r="E24" s="3" t="s">
        <v>65</v>
      </c>
      <c r="F24" s="8">
        <f>AVERAGE('[2]201125'!C8:C9)</f>
        <v>3.95</v>
      </c>
      <c r="G24" s="21">
        <f>AVERAGE('[2]201125'!D8:D9)</f>
        <v>0.21</v>
      </c>
      <c r="H24" s="8">
        <f>AVERAGE('[2]201125'!E8:E9)</f>
        <v>52.56</v>
      </c>
      <c r="I24" s="9">
        <f>AVERAGE('[2]201125'!F8:F9)</f>
        <v>2.2850000000000001</v>
      </c>
      <c r="J24" s="9">
        <f>AVERAGE('[2]201125'!G8:G9)</f>
        <v>451</v>
      </c>
      <c r="K24" s="12">
        <v>28.95</v>
      </c>
      <c r="L24" s="2" t="s">
        <v>19</v>
      </c>
      <c r="M24" s="3" t="s">
        <v>72</v>
      </c>
      <c r="N24" s="11">
        <v>5.8999999999999997E-2</v>
      </c>
      <c r="O24" s="11">
        <v>1.0999999999999999E-2</v>
      </c>
      <c r="P24" s="16">
        <v>52.76</v>
      </c>
      <c r="Q24" s="3">
        <v>0</v>
      </c>
      <c r="R24" s="17">
        <v>1.8</v>
      </c>
      <c r="S24" s="17">
        <v>8</v>
      </c>
      <c r="T24" s="17">
        <v>3.3</v>
      </c>
      <c r="U24" s="2" t="s">
        <v>21</v>
      </c>
    </row>
    <row r="25" spans="2:21">
      <c r="B25" s="5">
        <v>45982</v>
      </c>
      <c r="C25" s="3">
        <v>7.4999999999999997E-2</v>
      </c>
      <c r="D25" s="11">
        <v>1</v>
      </c>
      <c r="E25" s="3" t="s">
        <v>76</v>
      </c>
      <c r="F25" s="8">
        <f>AVERAGE('[2]211125'!C8:C11)</f>
        <v>4.0549999999999997</v>
      </c>
      <c r="G25" s="21">
        <f>AVERAGE('[2]211125'!D8:D11)</f>
        <v>0.2</v>
      </c>
      <c r="H25" s="8">
        <f>AVERAGE('[2]211125'!E8:E11)</f>
        <v>52.72</v>
      </c>
      <c r="I25" s="9">
        <f>AVERAGE('[2]211125'!F8:F11)</f>
        <v>2.2225000000000001</v>
      </c>
      <c r="J25" s="9">
        <f>AVERAGE('[2]211125'!G8:G11)</f>
        <v>449</v>
      </c>
      <c r="K25" s="12">
        <v>33.85</v>
      </c>
      <c r="L25" s="2" t="s">
        <v>19</v>
      </c>
      <c r="M25" s="3" t="s">
        <v>22</v>
      </c>
      <c r="N25" s="11">
        <v>6.0999999999999999E-2</v>
      </c>
      <c r="O25" s="11">
        <v>1.0999999999999999E-2</v>
      </c>
      <c r="P25" s="16">
        <v>52.99</v>
      </c>
      <c r="Q25" s="3">
        <v>0</v>
      </c>
      <c r="R25" s="3">
        <v>1.8</v>
      </c>
      <c r="S25" s="17">
        <v>8</v>
      </c>
      <c r="T25" s="17">
        <v>4.0999999999999996</v>
      </c>
      <c r="U25" s="2" t="s">
        <v>21</v>
      </c>
    </row>
    <row r="26" spans="2:21">
      <c r="B26" s="5">
        <v>45983</v>
      </c>
      <c r="C26" s="3">
        <v>7.4999999999999997E-2</v>
      </c>
      <c r="D26" s="11">
        <v>1.3</v>
      </c>
      <c r="E26" s="3" t="s">
        <v>65</v>
      </c>
      <c r="F26" s="8">
        <f>AVERAGE('[2]221125'!C8:C9)</f>
        <v>4.1150000000000002</v>
      </c>
      <c r="G26" s="21">
        <f>AVERAGE('[2]221125'!D8:D9)</f>
        <v>0.2</v>
      </c>
      <c r="H26" s="8">
        <f>AVERAGE('[2]221125'!E8:E9)</f>
        <v>52.6</v>
      </c>
      <c r="I26" s="9">
        <f>AVERAGE('[2]221125'!F8:F9)</f>
        <v>2.23</v>
      </c>
      <c r="J26" s="9">
        <f>AVERAGE('[2]221125'!G8:G9)</f>
        <v>447</v>
      </c>
      <c r="K26" s="12">
        <v>35</v>
      </c>
      <c r="L26" s="2" t="s">
        <v>19</v>
      </c>
      <c r="M26" s="3" t="s">
        <v>22</v>
      </c>
      <c r="N26" s="11">
        <v>6.0999999999999999E-2</v>
      </c>
      <c r="O26" s="11">
        <v>1.0999999999999999E-2</v>
      </c>
      <c r="P26" s="16">
        <v>52.71</v>
      </c>
      <c r="Q26" s="3">
        <v>0</v>
      </c>
      <c r="R26" s="3">
        <v>1.8</v>
      </c>
      <c r="S26" s="17">
        <v>8</v>
      </c>
      <c r="T26" s="17">
        <v>4.8</v>
      </c>
      <c r="U26" s="2" t="s">
        <v>21</v>
      </c>
    </row>
    <row r="27" spans="2:21">
      <c r="B27" s="5">
        <v>45984</v>
      </c>
      <c r="C27" s="3">
        <v>7.4999999999999997E-2</v>
      </c>
      <c r="D27" s="11">
        <v>1.2</v>
      </c>
      <c r="E27" s="3" t="s">
        <v>65</v>
      </c>
      <c r="F27" s="8">
        <f>AVERAGE('[2]231125'!C8:C9)</f>
        <v>4.0749999999999993</v>
      </c>
      <c r="G27" s="21">
        <f>AVERAGE('[2]231125'!D8:D9)</f>
        <v>0.21500000000000002</v>
      </c>
      <c r="H27" s="8">
        <f>AVERAGE('[2]231125'!E8:E9)</f>
        <v>52.894999999999996</v>
      </c>
      <c r="I27" s="9">
        <f>AVERAGE('[2]231125'!F8:F9)</f>
        <v>2.2199999999999998</v>
      </c>
      <c r="J27" s="9">
        <f>AVERAGE('[2]231125'!G8:G9)</f>
        <v>449</v>
      </c>
      <c r="K27" s="12">
        <v>31.75</v>
      </c>
      <c r="L27" s="2" t="s">
        <v>19</v>
      </c>
      <c r="M27" s="3" t="s">
        <v>22</v>
      </c>
      <c r="N27" s="11">
        <v>5.8999999999999997E-2</v>
      </c>
      <c r="O27" s="11">
        <v>1.2E-2</v>
      </c>
      <c r="P27" s="16">
        <v>52.97</v>
      </c>
      <c r="Q27" s="3">
        <v>0</v>
      </c>
      <c r="R27" s="3">
        <v>1.7</v>
      </c>
      <c r="S27" s="17">
        <v>8</v>
      </c>
      <c r="T27" s="17">
        <v>3.1</v>
      </c>
      <c r="U27" s="2" t="s">
        <v>21</v>
      </c>
    </row>
    <row r="28" spans="2:21">
      <c r="B28" s="5">
        <f>B27+1</f>
        <v>45985</v>
      </c>
      <c r="C28" s="11">
        <v>0.08</v>
      </c>
      <c r="D28" s="11">
        <v>1.3</v>
      </c>
      <c r="E28" s="3" t="s">
        <v>65</v>
      </c>
      <c r="F28" s="8">
        <f>AVERAGE('[2]241125'!C8:C9)</f>
        <v>3.9849999999999999</v>
      </c>
      <c r="G28" s="21">
        <f>AVERAGE('[2]241125'!D8:D9)</f>
        <v>0.20500000000000002</v>
      </c>
      <c r="H28" s="8">
        <f>AVERAGE('[2]241125'!E8:E9)</f>
        <v>52.825000000000003</v>
      </c>
      <c r="I28" s="9">
        <f>AVERAGE('[2]241125'!F8:F9)</f>
        <v>2.21</v>
      </c>
      <c r="J28" s="9">
        <f>AVERAGE('[2]241125'!G8:G9)</f>
        <v>447</v>
      </c>
      <c r="K28" s="12">
        <v>36.1</v>
      </c>
      <c r="L28" s="2" t="s">
        <v>19</v>
      </c>
      <c r="M28" s="3" t="s">
        <v>22</v>
      </c>
      <c r="N28" s="11">
        <v>5.8999999999999997E-2</v>
      </c>
      <c r="O28" s="11">
        <v>1.0999999999999999E-2</v>
      </c>
      <c r="P28" s="16">
        <v>52.86</v>
      </c>
      <c r="Q28" s="3">
        <v>0</v>
      </c>
      <c r="R28" s="3">
        <v>1.8</v>
      </c>
      <c r="S28" s="17">
        <v>8</v>
      </c>
      <c r="T28" s="17">
        <v>4</v>
      </c>
      <c r="U28" s="2" t="s">
        <v>21</v>
      </c>
    </row>
    <row r="29" spans="2:21">
      <c r="B29" s="5">
        <f>B28+1</f>
        <v>45986</v>
      </c>
      <c r="C29" s="11">
        <v>0.08</v>
      </c>
      <c r="D29" s="11">
        <v>1.4</v>
      </c>
      <c r="E29" s="3" t="s">
        <v>65</v>
      </c>
      <c r="F29" s="8">
        <f>AVERAGE('[2]251125'!C8:C9)</f>
        <v>4.1449999999999996</v>
      </c>
      <c r="G29" s="21">
        <f>AVERAGE('[2]251125'!D8:D9)</f>
        <v>0.20500000000000002</v>
      </c>
      <c r="H29" s="8">
        <f>AVERAGE('[2]251125'!E8:E9)</f>
        <v>52.95</v>
      </c>
      <c r="I29" s="9">
        <f>AVERAGE('[2]251125'!F8:F9)</f>
        <v>2.21</v>
      </c>
      <c r="J29" s="9">
        <f>AVERAGE('[2]251125'!G8:G9)</f>
        <v>463.5</v>
      </c>
      <c r="K29" s="12">
        <v>37.75</v>
      </c>
      <c r="L29" s="2" t="s">
        <v>19</v>
      </c>
      <c r="M29" s="3" t="s">
        <v>22</v>
      </c>
      <c r="N29" s="11">
        <v>0.08</v>
      </c>
      <c r="O29" s="11">
        <v>1.0999999999999999E-2</v>
      </c>
      <c r="P29" s="16">
        <v>52.9</v>
      </c>
      <c r="Q29" s="3">
        <v>0</v>
      </c>
      <c r="R29" s="3">
        <v>1.7</v>
      </c>
      <c r="S29" s="17">
        <v>8</v>
      </c>
      <c r="T29" s="17">
        <v>3.8</v>
      </c>
      <c r="U29" s="2" t="s">
        <v>21</v>
      </c>
    </row>
    <row r="30" spans="2:21">
      <c r="B30" s="5">
        <f>B29+1</f>
        <v>45987</v>
      </c>
      <c r="C30" s="11">
        <v>0.08</v>
      </c>
      <c r="D30" s="11">
        <v>1.3</v>
      </c>
      <c r="E30" s="3" t="s">
        <v>65</v>
      </c>
      <c r="F30" s="8">
        <f>AVERAGE('[2]261125'!C8:C9)</f>
        <v>3.9050000000000002</v>
      </c>
      <c r="G30" s="21">
        <f>AVERAGE('[2]261125'!D8:D9)</f>
        <v>0.20500000000000002</v>
      </c>
      <c r="H30" s="8">
        <f>AVERAGE('[2]261125'!E8:E9)</f>
        <v>52.885000000000005</v>
      </c>
      <c r="I30" s="9">
        <f>AVERAGE('[2]261125'!F8:F9)</f>
        <v>2.2649999999999997</v>
      </c>
      <c r="J30" s="9">
        <f>AVERAGE('[2]261125'!G8:G9)</f>
        <v>473.5</v>
      </c>
      <c r="K30" s="12">
        <v>34</v>
      </c>
      <c r="L30" s="2" t="s">
        <v>19</v>
      </c>
      <c r="M30" s="3" t="s">
        <v>72</v>
      </c>
      <c r="N30" s="11">
        <v>5.7000000000000002E-2</v>
      </c>
      <c r="O30" s="11">
        <v>1.2E-2</v>
      </c>
      <c r="P30" s="16">
        <v>52.96</v>
      </c>
      <c r="Q30" s="3">
        <v>0</v>
      </c>
      <c r="R30" s="3">
        <v>1.7</v>
      </c>
      <c r="S30" s="17">
        <v>8</v>
      </c>
      <c r="T30" s="17">
        <v>2.7</v>
      </c>
      <c r="U30" s="2" t="s">
        <v>21</v>
      </c>
    </row>
    <row r="31" spans="2:21">
      <c r="B31" s="5">
        <f t="shared" ref="B31" si="0">B30+1</f>
        <v>45988</v>
      </c>
      <c r="C31" s="11">
        <v>0.08</v>
      </c>
      <c r="D31" s="11">
        <v>1.3</v>
      </c>
      <c r="E31" s="3" t="s">
        <v>65</v>
      </c>
      <c r="F31" s="8">
        <f>AVERAGE('[2]271125'!C8:C9)</f>
        <v>4.26</v>
      </c>
      <c r="G31" s="21">
        <f>AVERAGE('[2]271125'!D8:D9)</f>
        <v>0.22</v>
      </c>
      <c r="H31" s="9">
        <f>AVERAGE('[2]271125'!E8:E9)</f>
        <v>52.83</v>
      </c>
      <c r="I31" s="9">
        <f>AVERAGE('[2]271125'!F8:F9)</f>
        <v>2.2650000000000001</v>
      </c>
      <c r="J31" s="9">
        <f>AVERAGE('[2]271125'!G8:G9)</f>
        <v>459</v>
      </c>
      <c r="K31" s="12">
        <v>35.75</v>
      </c>
      <c r="L31" s="2" t="s">
        <v>19</v>
      </c>
      <c r="M31" s="3" t="s">
        <v>72</v>
      </c>
      <c r="N31" s="11">
        <v>5.6000000000000001E-2</v>
      </c>
      <c r="O31" s="11">
        <v>1.2E-2</v>
      </c>
      <c r="P31" s="16">
        <v>52.87</v>
      </c>
      <c r="Q31" s="3">
        <v>0</v>
      </c>
      <c r="R31" s="3">
        <v>1.6</v>
      </c>
      <c r="S31" s="17">
        <v>8</v>
      </c>
      <c r="T31" s="17">
        <v>3.5</v>
      </c>
      <c r="U31" s="2" t="s">
        <v>21</v>
      </c>
    </row>
    <row r="32" spans="2:21">
      <c r="B32" s="5">
        <f>B31+1</f>
        <v>45989</v>
      </c>
      <c r="C32" s="11">
        <v>0.08</v>
      </c>
      <c r="D32" s="11">
        <v>1.2</v>
      </c>
      <c r="E32" s="3" t="s">
        <v>65</v>
      </c>
      <c r="F32" s="8">
        <f>AVERAGE('[2]281125'!C8:C9)</f>
        <v>4.0749999999999993</v>
      </c>
      <c r="G32" s="21">
        <f>AVERAGE('[2]281125'!D8:D9)</f>
        <v>0.22</v>
      </c>
      <c r="H32" s="8">
        <f>AVERAGE('[2]281125'!E8:E9)</f>
        <v>52.95</v>
      </c>
      <c r="I32" s="9">
        <f>AVERAGE('[2]281125'!F8:F9)</f>
        <v>2.2149999999999999</v>
      </c>
      <c r="J32" s="9">
        <f>AVERAGE('[2]281125'!G8:G9)</f>
        <v>450.5</v>
      </c>
      <c r="K32" s="12">
        <v>37.9</v>
      </c>
      <c r="L32" s="2" t="s">
        <v>19</v>
      </c>
      <c r="M32" s="3" t="s">
        <v>22</v>
      </c>
      <c r="N32" s="11">
        <v>5.6000000000000001E-2</v>
      </c>
      <c r="O32" s="11">
        <v>1.2999999999999999E-2</v>
      </c>
      <c r="P32" s="16">
        <v>53.01</v>
      </c>
      <c r="Q32" s="3">
        <v>0</v>
      </c>
      <c r="R32" s="3">
        <v>1.6</v>
      </c>
      <c r="S32" s="17">
        <v>8</v>
      </c>
      <c r="T32" s="17">
        <v>3.2</v>
      </c>
      <c r="U32" s="2" t="s">
        <v>21</v>
      </c>
    </row>
    <row r="33" spans="2:21">
      <c r="B33" s="5">
        <f>B32+1</f>
        <v>45990</v>
      </c>
      <c r="C33" s="11">
        <v>0.08</v>
      </c>
      <c r="D33" s="11">
        <v>1.2</v>
      </c>
      <c r="E33" s="3" t="s">
        <v>65</v>
      </c>
      <c r="F33" s="8">
        <f>AVERAGE('[2]291125'!C8:C9)</f>
        <v>4.085</v>
      </c>
      <c r="G33" s="21">
        <f>AVERAGE('[2]291125'!D8:D9)</f>
        <v>0.22</v>
      </c>
      <c r="H33" s="8">
        <f>AVERAGE('[2]291125'!E8:E9)</f>
        <v>52.924999999999997</v>
      </c>
      <c r="I33" s="9">
        <f>AVERAGE('[2]291125'!F8:F9)</f>
        <v>2.3049999999999997</v>
      </c>
      <c r="J33" s="9">
        <f>AVERAGE('[2]291125'!G8:G9)</f>
        <v>475.5</v>
      </c>
      <c r="K33" s="12">
        <v>34.950000000000003</v>
      </c>
      <c r="L33" s="2" t="s">
        <v>19</v>
      </c>
      <c r="M33" s="3" t="s">
        <v>72</v>
      </c>
      <c r="N33" s="11">
        <v>0.06</v>
      </c>
      <c r="O33" s="11">
        <v>1.2E-2</v>
      </c>
      <c r="P33" s="16">
        <v>52.88</v>
      </c>
      <c r="Q33" s="3">
        <v>0</v>
      </c>
      <c r="R33" s="3">
        <v>1.7</v>
      </c>
      <c r="S33" s="17">
        <v>8</v>
      </c>
      <c r="T33" s="17">
        <v>3.5</v>
      </c>
      <c r="U33" s="2" t="s">
        <v>21</v>
      </c>
    </row>
    <row r="34" spans="2:21">
      <c r="B34" s="5">
        <f>B33+1</f>
        <v>45991</v>
      </c>
      <c r="C34" s="11">
        <v>0.08</v>
      </c>
      <c r="D34" s="11">
        <v>1.2</v>
      </c>
      <c r="E34" s="3" t="s">
        <v>65</v>
      </c>
      <c r="F34" s="8">
        <f>AVERAGE('[2]301125'!C8:C9)</f>
        <v>4.1500000000000004</v>
      </c>
      <c r="G34" s="21">
        <f>AVERAGE('[2]301125'!D8:D9)</f>
        <v>0.22</v>
      </c>
      <c r="H34" s="8">
        <f>AVERAGE('[2]301125'!E8:E9)</f>
        <v>52.849999999999994</v>
      </c>
      <c r="I34" s="9">
        <f>AVERAGE('[2]301125'!F8:F9)</f>
        <v>2.2350000000000003</v>
      </c>
      <c r="J34" s="9">
        <f>AVERAGE('[2]301125'!G8:G9)</f>
        <v>463.5</v>
      </c>
      <c r="K34" s="12">
        <v>37.25</v>
      </c>
      <c r="L34" s="2" t="s">
        <v>19</v>
      </c>
      <c r="M34" s="3" t="s">
        <v>22</v>
      </c>
      <c r="N34" s="11">
        <v>5.7000000000000002E-2</v>
      </c>
      <c r="O34" s="11">
        <v>1.2E-2</v>
      </c>
      <c r="P34" s="16">
        <v>52.91</v>
      </c>
      <c r="Q34" s="3">
        <v>0</v>
      </c>
      <c r="R34" s="3">
        <v>1.7</v>
      </c>
      <c r="S34" s="17">
        <v>8</v>
      </c>
      <c r="T34" s="17">
        <v>3.6</v>
      </c>
      <c r="U34" s="2" t="s">
        <v>21</v>
      </c>
    </row>
    <row r="35" spans="2:21">
      <c r="F35" s="10"/>
      <c r="G35" s="10"/>
      <c r="H35" s="10"/>
      <c r="I35" s="10"/>
      <c r="J35" s="10"/>
      <c r="K35" s="10"/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6">
    <mergeCell ref="M3:U3"/>
    <mergeCell ref="B37:D37"/>
    <mergeCell ref="E3:L3"/>
    <mergeCell ref="B3:B4"/>
    <mergeCell ref="C3:C4"/>
    <mergeCell ref="D3:D4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7C40-CAC0-457D-9B4A-4DFEFD55A360}">
  <sheetPr codeName="Sheet12"/>
  <dimension ref="B3:U41"/>
  <sheetViews>
    <sheetView topLeftCell="E21" workbookViewId="0">
      <selection activeCell="J10" sqref="J10"/>
    </sheetView>
  </sheetViews>
  <sheetFormatPr defaultRowHeight="15"/>
  <cols>
    <col min="2" max="4" width="15.7109375" style="4" customWidth="1"/>
    <col min="5" max="5" width="14.85546875" style="4" customWidth="1"/>
    <col min="6" max="11" width="10.7109375" style="4" customWidth="1"/>
    <col min="12" max="12" width="10.7109375" style="1" customWidth="1"/>
    <col min="13" max="13" width="15.7109375" style="4" customWidth="1"/>
    <col min="14" max="20" width="10.7109375" style="4" customWidth="1"/>
    <col min="21" max="21" width="10.7109375" style="1" customWidth="1"/>
  </cols>
  <sheetData>
    <row r="3" spans="2:21">
      <c r="B3" s="54" t="s">
        <v>0</v>
      </c>
      <c r="C3" s="54" t="s">
        <v>1</v>
      </c>
      <c r="D3" s="55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46" t="s">
        <v>4</v>
      </c>
      <c r="N3" s="46"/>
      <c r="O3" s="46"/>
      <c r="P3" s="46"/>
      <c r="Q3" s="46"/>
      <c r="R3" s="46"/>
      <c r="S3" s="46"/>
      <c r="T3" s="46"/>
      <c r="U3" s="46"/>
    </row>
    <row r="4" spans="2:21">
      <c r="B4" s="54"/>
      <c r="C4" s="54"/>
      <c r="D4" s="55"/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13</v>
      </c>
      <c r="R4" s="27" t="s">
        <v>14</v>
      </c>
      <c r="S4" s="27" t="s">
        <v>15</v>
      </c>
      <c r="T4" s="27" t="s">
        <v>11</v>
      </c>
      <c r="U4" s="27" t="s">
        <v>16</v>
      </c>
    </row>
    <row r="5" spans="2:21" ht="15.75">
      <c r="B5" s="5">
        <v>45992</v>
      </c>
      <c r="C5" s="11">
        <v>0.08</v>
      </c>
      <c r="D5" s="11">
        <v>1.1000000000000001</v>
      </c>
      <c r="E5" s="3" t="s">
        <v>18</v>
      </c>
      <c r="F5" s="43">
        <v>4.085</v>
      </c>
      <c r="G5" s="44">
        <v>0.22</v>
      </c>
      <c r="H5" s="43">
        <v>52.97</v>
      </c>
      <c r="I5" s="45">
        <v>2.2599999999999998</v>
      </c>
      <c r="J5" s="45">
        <v>460.5</v>
      </c>
      <c r="K5" s="12">
        <v>34.1</v>
      </c>
      <c r="L5" s="2" t="s">
        <v>19</v>
      </c>
      <c r="M5" s="3" t="s">
        <v>20</v>
      </c>
      <c r="N5" s="20">
        <v>5.7416666666666671E-2</v>
      </c>
      <c r="O5" s="20">
        <v>1.2E-2</v>
      </c>
      <c r="P5" s="13">
        <v>53.03</v>
      </c>
      <c r="Q5" s="14">
        <v>0</v>
      </c>
      <c r="R5" s="15">
        <v>1.7333333333333336</v>
      </c>
      <c r="S5" s="17">
        <v>8</v>
      </c>
      <c r="T5" s="17">
        <v>2.9</v>
      </c>
      <c r="U5" s="2" t="s">
        <v>21</v>
      </c>
    </row>
    <row r="6" spans="2:21">
      <c r="B6" s="5">
        <v>45993</v>
      </c>
      <c r="C6" s="3">
        <v>7.5999999999999998E-2</v>
      </c>
      <c r="D6" s="11">
        <v>1.1000000000000001</v>
      </c>
      <c r="E6" s="3" t="s">
        <v>18</v>
      </c>
      <c r="F6" s="8">
        <v>4.01</v>
      </c>
      <c r="G6" s="21">
        <v>0.215</v>
      </c>
      <c r="H6" s="8">
        <v>52.894999999999996</v>
      </c>
      <c r="I6" s="9">
        <v>2.2750000000000004</v>
      </c>
      <c r="J6" s="9">
        <v>458.5</v>
      </c>
      <c r="K6" s="12">
        <v>30.9</v>
      </c>
      <c r="L6" s="2" t="s">
        <v>19</v>
      </c>
      <c r="M6" s="3" t="s">
        <v>20</v>
      </c>
      <c r="N6" s="11">
        <v>5.6166666666666677E-2</v>
      </c>
      <c r="O6" s="11">
        <v>1.0999999999999999E-2</v>
      </c>
      <c r="P6" s="16">
        <v>52.9</v>
      </c>
      <c r="Q6" s="3">
        <v>0</v>
      </c>
      <c r="R6" s="17">
        <v>1.6333333333333331</v>
      </c>
      <c r="S6" s="17">
        <v>8</v>
      </c>
      <c r="T6" s="17">
        <v>2.6</v>
      </c>
      <c r="U6" s="2" t="s">
        <v>21</v>
      </c>
    </row>
    <row r="7" spans="2:21">
      <c r="B7" s="5">
        <v>45994</v>
      </c>
      <c r="C7" s="11">
        <v>7.4999999999999997E-2</v>
      </c>
      <c r="D7" s="11">
        <v>0.95</v>
      </c>
      <c r="E7" s="3" t="s">
        <v>18</v>
      </c>
      <c r="F7" s="8">
        <v>4.1950000000000003</v>
      </c>
      <c r="G7" s="21">
        <v>0.23499999999999999</v>
      </c>
      <c r="H7" s="8">
        <v>52.9</v>
      </c>
      <c r="I7" s="9">
        <v>2.2450000000000001</v>
      </c>
      <c r="J7" s="9">
        <v>471.5</v>
      </c>
      <c r="K7" s="12">
        <v>31.6</v>
      </c>
      <c r="L7" s="2" t="s">
        <v>19</v>
      </c>
      <c r="M7" s="3" t="s">
        <v>20</v>
      </c>
      <c r="N7" s="11">
        <v>6.0916666666666675E-2</v>
      </c>
      <c r="O7" s="11">
        <v>1.2500000000000001E-2</v>
      </c>
      <c r="P7" s="16">
        <v>52.995000000000005</v>
      </c>
      <c r="Q7" s="3">
        <v>0</v>
      </c>
      <c r="R7" s="17">
        <v>1.7583333333333335</v>
      </c>
      <c r="S7" s="17">
        <v>8</v>
      </c>
      <c r="T7" s="17">
        <v>2.5</v>
      </c>
      <c r="U7" s="2" t="s">
        <v>21</v>
      </c>
    </row>
    <row r="8" spans="2:21">
      <c r="B8" s="5">
        <v>45995</v>
      </c>
      <c r="C8" s="11">
        <v>7.4999999999999997E-2</v>
      </c>
      <c r="D8" s="11">
        <v>0.9</v>
      </c>
      <c r="E8" s="3" t="s">
        <v>18</v>
      </c>
      <c r="F8" s="8">
        <v>4.2149999999999999</v>
      </c>
      <c r="G8" s="21">
        <v>0.23</v>
      </c>
      <c r="H8" s="8">
        <v>52.924999999999997</v>
      </c>
      <c r="I8" s="9">
        <v>2.2549999999999999</v>
      </c>
      <c r="J8" s="9">
        <v>441</v>
      </c>
      <c r="K8" s="12">
        <v>30.7</v>
      </c>
      <c r="L8" s="2" t="s">
        <v>19</v>
      </c>
      <c r="M8" s="3" t="s">
        <v>20</v>
      </c>
      <c r="N8" s="11">
        <v>6.0499999999999998E-2</v>
      </c>
      <c r="O8" s="11">
        <v>1.2E-2</v>
      </c>
      <c r="P8" s="16">
        <v>52.905000000000001</v>
      </c>
      <c r="Q8" s="3">
        <v>0</v>
      </c>
      <c r="R8" s="17">
        <v>1.7750000000000001</v>
      </c>
      <c r="S8" s="17">
        <v>8</v>
      </c>
      <c r="T8" s="17">
        <v>3.3</v>
      </c>
      <c r="U8" s="2" t="s">
        <v>21</v>
      </c>
    </row>
    <row r="9" spans="2:21">
      <c r="B9" s="5">
        <v>45996</v>
      </c>
      <c r="C9" s="11">
        <v>7.4999999999999997E-2</v>
      </c>
      <c r="D9" s="11">
        <v>1</v>
      </c>
      <c r="E9" s="3" t="s">
        <v>77</v>
      </c>
      <c r="F9" s="8">
        <v>4.2699999999999996</v>
      </c>
      <c r="G9" s="21">
        <v>0.22333333333333336</v>
      </c>
      <c r="H9" s="8">
        <v>52.9</v>
      </c>
      <c r="I9" s="9">
        <v>2.2833333333333337</v>
      </c>
      <c r="J9" s="9">
        <v>461</v>
      </c>
      <c r="K9" s="12">
        <v>31</v>
      </c>
      <c r="L9" s="2" t="s">
        <v>19</v>
      </c>
      <c r="M9" s="3" t="s">
        <v>22</v>
      </c>
      <c r="N9" s="11">
        <v>6.3916666666666663E-2</v>
      </c>
      <c r="O9" s="11">
        <v>1.2E-2</v>
      </c>
      <c r="P9" s="16">
        <v>52.9</v>
      </c>
      <c r="Q9" s="3">
        <v>0</v>
      </c>
      <c r="R9" s="17">
        <v>1.9749999999999996</v>
      </c>
      <c r="S9" s="17">
        <v>8</v>
      </c>
      <c r="T9" s="17">
        <v>4.2</v>
      </c>
      <c r="U9" s="2" t="s">
        <v>21</v>
      </c>
    </row>
    <row r="10" spans="2:21">
      <c r="B10" s="5">
        <v>45997</v>
      </c>
      <c r="C10" s="11">
        <v>7.4999999999999997E-2</v>
      </c>
      <c r="D10" s="11">
        <v>1.2</v>
      </c>
      <c r="E10" s="3" t="s">
        <v>78</v>
      </c>
      <c r="F10" s="8">
        <v>4.2699999999999996</v>
      </c>
      <c r="G10" s="21">
        <v>0.22500000000000001</v>
      </c>
      <c r="H10" s="8">
        <v>52.914999999999999</v>
      </c>
      <c r="I10" s="9">
        <v>2.27</v>
      </c>
      <c r="J10" s="9">
        <v>463</v>
      </c>
      <c r="K10" s="12">
        <v>31.7</v>
      </c>
      <c r="L10" s="2" t="s">
        <v>19</v>
      </c>
      <c r="M10" s="3" t="s">
        <v>22</v>
      </c>
      <c r="N10" s="11">
        <v>6.2083333333333324E-2</v>
      </c>
      <c r="O10" s="11">
        <v>1.2E-2</v>
      </c>
      <c r="P10" s="16">
        <v>52.823333333333331</v>
      </c>
      <c r="Q10" s="3">
        <v>0</v>
      </c>
      <c r="R10" s="17">
        <v>1.9666666666666661</v>
      </c>
      <c r="S10" s="17">
        <v>8</v>
      </c>
      <c r="T10" s="17">
        <v>3.3</v>
      </c>
      <c r="U10" s="2" t="s">
        <v>21</v>
      </c>
    </row>
    <row r="11" spans="2:21">
      <c r="B11" s="5">
        <v>45998</v>
      </c>
      <c r="C11" s="11">
        <v>0.08</v>
      </c>
      <c r="D11" s="11">
        <v>1.1000000000000001</v>
      </c>
      <c r="E11" s="3" t="s">
        <v>79</v>
      </c>
      <c r="F11" s="8">
        <v>4.2766666666666664</v>
      </c>
      <c r="G11" s="21">
        <v>0.21333333333333335</v>
      </c>
      <c r="H11" s="8">
        <v>52.890000000000008</v>
      </c>
      <c r="I11" s="9">
        <v>2.2533333333333334</v>
      </c>
      <c r="J11" s="9">
        <v>461.33333333333331</v>
      </c>
      <c r="K11" s="12">
        <v>30.9</v>
      </c>
      <c r="L11" s="2" t="s">
        <v>19</v>
      </c>
      <c r="M11" s="3" t="s">
        <v>20</v>
      </c>
      <c r="N11" s="11">
        <v>6.4416666666666664E-2</v>
      </c>
      <c r="O11" s="11">
        <v>1.15E-2</v>
      </c>
      <c r="P11" s="16">
        <v>53.14</v>
      </c>
      <c r="Q11" s="3">
        <v>0</v>
      </c>
      <c r="R11" s="17">
        <v>1.9666666666666661</v>
      </c>
      <c r="S11" s="17">
        <v>8</v>
      </c>
      <c r="T11" s="17">
        <v>2.6</v>
      </c>
      <c r="U11" s="2" t="s">
        <v>21</v>
      </c>
    </row>
    <row r="12" spans="2:21">
      <c r="B12" s="5">
        <v>45999</v>
      </c>
      <c r="C12" s="11">
        <v>0.08</v>
      </c>
      <c r="D12" s="11">
        <v>1</v>
      </c>
      <c r="E12" s="3" t="s">
        <v>18</v>
      </c>
      <c r="F12" s="8">
        <v>4.3900000000000006</v>
      </c>
      <c r="G12" s="21">
        <v>0.22</v>
      </c>
      <c r="H12" s="8">
        <v>52.93</v>
      </c>
      <c r="I12" s="9">
        <v>2.2749999999999999</v>
      </c>
      <c r="J12" s="9">
        <v>462.5</v>
      </c>
      <c r="K12" s="12">
        <v>35.299999999999997</v>
      </c>
      <c r="L12" s="2" t="s">
        <v>19</v>
      </c>
      <c r="M12" s="3" t="s">
        <v>20</v>
      </c>
      <c r="N12" s="11">
        <v>6.3666666666666663E-2</v>
      </c>
      <c r="O12" s="11">
        <v>1.15E-2</v>
      </c>
      <c r="P12" s="16">
        <v>52.81</v>
      </c>
      <c r="Q12" s="3">
        <v>0</v>
      </c>
      <c r="R12" s="17">
        <v>1.958333333333333</v>
      </c>
      <c r="S12" s="17">
        <v>8</v>
      </c>
      <c r="T12" s="17">
        <v>3</v>
      </c>
      <c r="U12" s="2" t="s">
        <v>21</v>
      </c>
    </row>
    <row r="13" spans="2:21">
      <c r="B13" s="5">
        <v>46000</v>
      </c>
      <c r="C13" s="11">
        <v>0.08</v>
      </c>
      <c r="D13" s="11">
        <v>0.93</v>
      </c>
      <c r="E13" s="3" t="s">
        <v>77</v>
      </c>
      <c r="F13" s="8">
        <v>4.49</v>
      </c>
      <c r="G13" s="21">
        <v>0.22666666666666666</v>
      </c>
      <c r="H13" s="8">
        <v>52.876666666666665</v>
      </c>
      <c r="I13" s="9">
        <v>2.2566666666666664</v>
      </c>
      <c r="J13" s="9">
        <v>457.33333333333331</v>
      </c>
      <c r="K13" s="12">
        <v>28</v>
      </c>
      <c r="L13" s="2" t="s">
        <v>19</v>
      </c>
      <c r="M13" s="3" t="s">
        <v>20</v>
      </c>
      <c r="N13" s="11">
        <v>6.5727272727272731E-2</v>
      </c>
      <c r="O13" s="11">
        <v>1.2500000000000001E-2</v>
      </c>
      <c r="P13" s="16">
        <v>53.09</v>
      </c>
      <c r="Q13" s="3">
        <v>0</v>
      </c>
      <c r="R13" s="17">
        <v>2.0545454545454547</v>
      </c>
      <c r="S13" s="17">
        <v>8</v>
      </c>
      <c r="T13" s="17">
        <v>2.2999999999999998</v>
      </c>
      <c r="U13" s="2" t="s">
        <v>21</v>
      </c>
    </row>
    <row r="14" spans="2:21">
      <c r="B14" s="5">
        <v>46001</v>
      </c>
      <c r="C14" s="11">
        <v>0.08</v>
      </c>
      <c r="D14" s="11">
        <v>0.9</v>
      </c>
      <c r="E14" s="3" t="s">
        <v>18</v>
      </c>
      <c r="F14" s="8">
        <v>4.4649999999999999</v>
      </c>
      <c r="G14" s="21">
        <v>0.23</v>
      </c>
      <c r="H14" s="8">
        <v>52.87</v>
      </c>
      <c r="I14" s="9">
        <v>2.2450000000000001</v>
      </c>
      <c r="J14" s="9">
        <v>456.5</v>
      </c>
      <c r="K14" s="12">
        <v>27</v>
      </c>
      <c r="L14" s="2" t="s">
        <v>19</v>
      </c>
      <c r="M14" s="3" t="s">
        <v>20</v>
      </c>
      <c r="N14" s="11">
        <v>0.1083846153846154</v>
      </c>
      <c r="O14" s="11">
        <v>1.2500000000000001E-2</v>
      </c>
      <c r="P14" s="16">
        <v>52.97</v>
      </c>
      <c r="Q14" s="3">
        <v>0</v>
      </c>
      <c r="R14" s="17">
        <v>2.0461538461538464</v>
      </c>
      <c r="S14" s="17">
        <v>8</v>
      </c>
      <c r="T14" s="17">
        <v>2.6</v>
      </c>
      <c r="U14" s="2" t="s">
        <v>21</v>
      </c>
    </row>
    <row r="15" spans="2:21">
      <c r="B15" s="5">
        <v>46002</v>
      </c>
      <c r="C15" s="11">
        <v>0.08</v>
      </c>
      <c r="D15" s="11">
        <v>0.9</v>
      </c>
      <c r="E15" s="3" t="s">
        <v>18</v>
      </c>
      <c r="F15" s="8">
        <v>4.13</v>
      </c>
      <c r="G15" s="21">
        <v>0.22500000000000001</v>
      </c>
      <c r="H15" s="8">
        <v>52.864999999999995</v>
      </c>
      <c r="I15" s="9">
        <v>2.2949999999999999</v>
      </c>
      <c r="J15" s="9">
        <v>472.5</v>
      </c>
      <c r="K15" s="12">
        <v>29.4</v>
      </c>
      <c r="L15" s="2" t="s">
        <v>19</v>
      </c>
      <c r="M15" s="3" t="s">
        <v>20</v>
      </c>
      <c r="N15" s="11">
        <v>0.11572727272727273</v>
      </c>
      <c r="O15" s="11">
        <v>1.15E-2</v>
      </c>
      <c r="P15" s="16">
        <v>52.91</v>
      </c>
      <c r="Q15" s="3">
        <v>0</v>
      </c>
      <c r="R15" s="17">
        <v>1.863636363636364</v>
      </c>
      <c r="S15" s="17">
        <v>8</v>
      </c>
      <c r="T15" s="17">
        <v>1.9</v>
      </c>
      <c r="U15" s="2" t="s">
        <v>21</v>
      </c>
    </row>
    <row r="16" spans="2:21">
      <c r="B16" s="5">
        <v>46003</v>
      </c>
      <c r="C16" s="11">
        <v>0.08</v>
      </c>
      <c r="D16" s="11">
        <v>1</v>
      </c>
      <c r="E16" s="3" t="s">
        <v>79</v>
      </c>
      <c r="F16" s="8">
        <v>4.3133333333333335</v>
      </c>
      <c r="G16" s="21">
        <v>0.21333333333333335</v>
      </c>
      <c r="H16" s="8">
        <v>52.936666666666667</v>
      </c>
      <c r="I16" s="9">
        <v>2.21</v>
      </c>
      <c r="J16" s="9">
        <v>438.33333333333331</v>
      </c>
      <c r="K16" s="12">
        <v>27.9</v>
      </c>
      <c r="L16" s="2" t="s">
        <v>19</v>
      </c>
      <c r="M16" s="3" t="s">
        <v>55</v>
      </c>
      <c r="N16" s="11">
        <v>6.6166666666666665E-2</v>
      </c>
      <c r="O16" s="11">
        <v>1.2E-2</v>
      </c>
      <c r="P16" s="16">
        <v>53.057499999999997</v>
      </c>
      <c r="Q16" s="3">
        <v>0</v>
      </c>
      <c r="R16" s="17">
        <v>2.0000000000000004</v>
      </c>
      <c r="S16" s="17">
        <v>8</v>
      </c>
      <c r="T16" s="17">
        <v>4.2</v>
      </c>
      <c r="U16" s="2" t="s">
        <v>21</v>
      </c>
    </row>
    <row r="17" spans="2:21">
      <c r="B17" s="5">
        <v>46004</v>
      </c>
      <c r="C17" s="11">
        <v>0.08</v>
      </c>
      <c r="D17" s="11">
        <v>1.1000000000000001</v>
      </c>
      <c r="E17" s="3" t="s">
        <v>18</v>
      </c>
      <c r="F17" s="8">
        <v>4.375</v>
      </c>
      <c r="G17" s="21">
        <v>0.20500000000000002</v>
      </c>
      <c r="H17" s="8">
        <v>52.935000000000002</v>
      </c>
      <c r="I17" s="9">
        <v>2.25</v>
      </c>
      <c r="J17" s="9">
        <v>461.5</v>
      </c>
      <c r="K17" s="12">
        <v>26</v>
      </c>
      <c r="L17" s="2" t="s">
        <v>19</v>
      </c>
      <c r="M17" s="3" t="s">
        <v>20</v>
      </c>
      <c r="N17" s="11">
        <v>6.4000000000000001E-2</v>
      </c>
      <c r="O17" s="11">
        <v>1.0499999999999999E-2</v>
      </c>
      <c r="P17" s="16">
        <v>53.08</v>
      </c>
      <c r="Q17" s="3">
        <v>0</v>
      </c>
      <c r="R17" s="17">
        <v>1.9749999999999996</v>
      </c>
      <c r="S17" s="17">
        <v>8</v>
      </c>
      <c r="T17" s="17">
        <v>3</v>
      </c>
      <c r="U17" s="2" t="s">
        <v>21</v>
      </c>
    </row>
    <row r="18" spans="2:21">
      <c r="B18" s="5">
        <v>46005</v>
      </c>
      <c r="C18" s="11">
        <v>0.08</v>
      </c>
      <c r="D18" s="11">
        <v>1.1000000000000001</v>
      </c>
      <c r="E18" s="3" t="s">
        <v>18</v>
      </c>
      <c r="F18" s="8">
        <v>4.2750000000000004</v>
      </c>
      <c r="G18" s="21">
        <v>0.21</v>
      </c>
      <c r="H18" s="8">
        <v>52.849999999999994</v>
      </c>
      <c r="I18" s="9">
        <v>2.2149999999999999</v>
      </c>
      <c r="J18" s="9">
        <v>446</v>
      </c>
      <c r="K18" s="12">
        <v>27.7</v>
      </c>
      <c r="L18" s="2" t="s">
        <v>19</v>
      </c>
      <c r="M18" s="3" t="s">
        <v>22</v>
      </c>
      <c r="N18" s="11">
        <v>6.1916666666666675E-2</v>
      </c>
      <c r="O18" s="11">
        <v>1.0999999999999999E-2</v>
      </c>
      <c r="P18" s="16">
        <v>52.896666666666668</v>
      </c>
      <c r="Q18" s="3">
        <v>0</v>
      </c>
      <c r="R18" s="17">
        <v>2.0666666666666669</v>
      </c>
      <c r="S18" s="17">
        <v>8</v>
      </c>
      <c r="T18" s="17">
        <v>3.9</v>
      </c>
      <c r="U18" s="2" t="s">
        <v>21</v>
      </c>
    </row>
    <row r="19" spans="2:21">
      <c r="B19" s="5">
        <v>46006</v>
      </c>
      <c r="C19" s="11">
        <v>0.08</v>
      </c>
      <c r="D19" s="11">
        <v>1</v>
      </c>
      <c r="E19" s="3" t="s">
        <v>80</v>
      </c>
      <c r="F19" s="8">
        <v>4.3275000000000006</v>
      </c>
      <c r="G19" s="21">
        <v>0.22750000000000001</v>
      </c>
      <c r="H19" s="8">
        <v>52.837499999999999</v>
      </c>
      <c r="I19" s="9">
        <v>2.2824999999999998</v>
      </c>
      <c r="J19" s="9">
        <v>469.25</v>
      </c>
      <c r="K19" s="12">
        <v>30.2</v>
      </c>
      <c r="L19" s="2" t="s">
        <v>19</v>
      </c>
      <c r="M19" s="3" t="s">
        <v>20</v>
      </c>
      <c r="N19" s="11">
        <v>6.5399999999999986E-2</v>
      </c>
      <c r="O19" s="11">
        <v>1.2500000000000001E-2</v>
      </c>
      <c r="P19" s="16">
        <v>52.885000000000005</v>
      </c>
      <c r="Q19" s="3">
        <v>0</v>
      </c>
      <c r="R19" s="17">
        <v>2.06</v>
      </c>
      <c r="S19" s="17">
        <v>8</v>
      </c>
      <c r="T19" s="17">
        <v>3.2</v>
      </c>
      <c r="U19" s="2" t="s">
        <v>21</v>
      </c>
    </row>
    <row r="20" spans="2:21">
      <c r="B20" s="5">
        <v>46007</v>
      </c>
      <c r="C20" s="11">
        <v>0.08</v>
      </c>
      <c r="D20" s="11">
        <v>1</v>
      </c>
      <c r="E20" s="3" t="s">
        <v>78</v>
      </c>
      <c r="F20" s="8">
        <v>4.16</v>
      </c>
      <c r="G20" s="21">
        <v>0.23</v>
      </c>
      <c r="H20" s="8">
        <v>52.754999999999995</v>
      </c>
      <c r="I20" s="9">
        <v>2.2800000000000002</v>
      </c>
      <c r="J20" s="9">
        <v>444.5</v>
      </c>
      <c r="K20" s="12">
        <v>30.1</v>
      </c>
      <c r="L20" s="2" t="s">
        <v>19</v>
      </c>
      <c r="M20" s="3" t="s">
        <v>20</v>
      </c>
      <c r="N20" s="11">
        <v>7.8000000000000014E-2</v>
      </c>
      <c r="O20" s="11">
        <v>1.2999999999999999E-2</v>
      </c>
      <c r="P20" s="16">
        <v>52.776666666666671</v>
      </c>
      <c r="Q20" s="3">
        <v>0</v>
      </c>
      <c r="R20" s="17">
        <v>2.2555555555555551</v>
      </c>
      <c r="S20" s="17">
        <v>8</v>
      </c>
      <c r="T20" s="17">
        <v>3.4</v>
      </c>
      <c r="U20" s="2" t="s">
        <v>21</v>
      </c>
    </row>
    <row r="21" spans="2:21">
      <c r="B21" s="5">
        <v>46008</v>
      </c>
      <c r="C21" s="11">
        <v>0.08</v>
      </c>
      <c r="D21" s="11">
        <v>1</v>
      </c>
      <c r="E21" s="3" t="s">
        <v>81</v>
      </c>
      <c r="F21" s="8">
        <v>4.043333333333333</v>
      </c>
      <c r="G21" s="21">
        <v>0.22333333333333336</v>
      </c>
      <c r="H21" s="8">
        <v>52.906666666666666</v>
      </c>
      <c r="I21" s="9">
        <v>2.1633333333333336</v>
      </c>
      <c r="J21" s="9">
        <v>457.33333333333331</v>
      </c>
      <c r="K21" s="12">
        <v>27.5</v>
      </c>
      <c r="L21" s="2" t="s">
        <v>19</v>
      </c>
      <c r="M21" s="3" t="s">
        <v>20</v>
      </c>
      <c r="N21" s="11">
        <v>6.4000000000000001E-2</v>
      </c>
      <c r="O21" s="11">
        <v>1.2E-2</v>
      </c>
      <c r="P21" s="16">
        <v>52.93</v>
      </c>
      <c r="Q21" s="3">
        <v>0</v>
      </c>
      <c r="R21" s="17">
        <v>1.8583333333333336</v>
      </c>
      <c r="S21" s="17">
        <v>8</v>
      </c>
      <c r="T21" s="17">
        <v>2.9</v>
      </c>
      <c r="U21" s="2" t="s">
        <v>21</v>
      </c>
    </row>
    <row r="22" spans="2:21">
      <c r="B22" s="5">
        <v>46009</v>
      </c>
      <c r="C22" s="11">
        <v>0.08</v>
      </c>
      <c r="D22" s="11">
        <v>1</v>
      </c>
      <c r="E22" s="3" t="s">
        <v>18</v>
      </c>
      <c r="F22" s="8">
        <v>4.4649999999999999</v>
      </c>
      <c r="G22" s="21">
        <v>0.22</v>
      </c>
      <c r="H22" s="8">
        <v>52.9</v>
      </c>
      <c r="I22" s="8">
        <v>2.2450000000000001</v>
      </c>
      <c r="J22" s="9">
        <v>465</v>
      </c>
      <c r="K22" s="12">
        <v>26.2</v>
      </c>
      <c r="L22" s="2" t="s">
        <v>19</v>
      </c>
      <c r="M22" s="3" t="s">
        <v>20</v>
      </c>
      <c r="N22" s="11">
        <v>6.2416666666666676E-2</v>
      </c>
      <c r="O22" s="11">
        <v>1.2E-2</v>
      </c>
      <c r="P22" s="16">
        <v>52.83</v>
      </c>
      <c r="Q22" s="3">
        <v>0</v>
      </c>
      <c r="R22" s="17">
        <v>1.875</v>
      </c>
      <c r="S22" s="17">
        <v>8</v>
      </c>
      <c r="T22" s="17">
        <v>2.1</v>
      </c>
      <c r="U22" s="2" t="s">
        <v>21</v>
      </c>
    </row>
    <row r="23" spans="2:21">
      <c r="B23" s="5">
        <v>46010</v>
      </c>
      <c r="C23" s="11">
        <v>0.08</v>
      </c>
      <c r="D23" s="11">
        <v>1</v>
      </c>
      <c r="E23" s="3" t="s">
        <v>18</v>
      </c>
      <c r="F23" s="8">
        <v>4.5250000000000004</v>
      </c>
      <c r="G23" s="21">
        <v>0.21500000000000002</v>
      </c>
      <c r="H23" s="8">
        <v>52.905000000000001</v>
      </c>
      <c r="I23" s="9">
        <v>2.3200000000000003</v>
      </c>
      <c r="J23" s="9">
        <v>476.5</v>
      </c>
      <c r="K23" s="12">
        <v>26.9</v>
      </c>
      <c r="L23" s="2" t="s">
        <v>19</v>
      </c>
      <c r="M23" s="3" t="s">
        <v>20</v>
      </c>
      <c r="N23" s="11">
        <v>6.3E-2</v>
      </c>
      <c r="O23" s="11">
        <v>1.0499999999999999E-2</v>
      </c>
      <c r="P23" s="16">
        <v>53.06</v>
      </c>
      <c r="Q23" s="3">
        <v>0</v>
      </c>
      <c r="R23" s="17">
        <v>2.0083333333333333</v>
      </c>
      <c r="S23" s="17">
        <v>8</v>
      </c>
      <c r="T23" s="17">
        <v>2.9</v>
      </c>
      <c r="U23" s="2" t="s">
        <v>21</v>
      </c>
    </row>
    <row r="24" spans="2:21">
      <c r="B24" s="5">
        <v>46011</v>
      </c>
      <c r="C24" s="11">
        <v>0.08</v>
      </c>
      <c r="D24" s="11">
        <v>1</v>
      </c>
      <c r="E24" s="3" t="s">
        <v>77</v>
      </c>
      <c r="F24" s="8">
        <v>4.503333333333333</v>
      </c>
      <c r="G24" s="21">
        <v>0.23</v>
      </c>
      <c r="H24" s="8">
        <v>52.856666666666662</v>
      </c>
      <c r="I24" s="9">
        <v>2.2266666666666666</v>
      </c>
      <c r="J24" s="9">
        <v>443.33333333333331</v>
      </c>
      <c r="K24" s="12">
        <v>27.5</v>
      </c>
      <c r="L24" s="2" t="s">
        <v>19</v>
      </c>
      <c r="M24" s="3" t="s">
        <v>20</v>
      </c>
      <c r="N24" s="11">
        <v>6.3833333333333311E-2</v>
      </c>
      <c r="O24" s="11">
        <v>1.2500000000000001E-2</v>
      </c>
      <c r="P24" s="16">
        <v>52.980000000000004</v>
      </c>
      <c r="Q24" s="3">
        <v>0</v>
      </c>
      <c r="R24" s="17">
        <v>2.0499999999999998</v>
      </c>
      <c r="S24" s="17">
        <v>8</v>
      </c>
      <c r="T24" s="17">
        <v>3.6</v>
      </c>
      <c r="U24" s="2" t="s">
        <v>21</v>
      </c>
    </row>
    <row r="25" spans="2:21">
      <c r="B25" s="5">
        <v>46012</v>
      </c>
      <c r="C25" s="11">
        <v>0.08</v>
      </c>
      <c r="D25" s="11">
        <v>1</v>
      </c>
      <c r="E25" s="3" t="s">
        <v>77</v>
      </c>
      <c r="F25" s="8">
        <v>4.4700000000000006</v>
      </c>
      <c r="G25" s="21">
        <v>0.22500000000000001</v>
      </c>
      <c r="H25" s="8">
        <v>53.025000000000006</v>
      </c>
      <c r="I25" s="9">
        <v>2.2549999999999999</v>
      </c>
      <c r="J25" s="9">
        <v>457</v>
      </c>
      <c r="K25" s="12">
        <v>31</v>
      </c>
      <c r="L25" s="2" t="s">
        <v>19</v>
      </c>
      <c r="M25" s="3" t="s">
        <v>20</v>
      </c>
      <c r="N25" s="11">
        <v>6.2250000000000007E-2</v>
      </c>
      <c r="O25" s="11">
        <v>1.2E-2</v>
      </c>
      <c r="P25" s="16">
        <v>53.405000000000001</v>
      </c>
      <c r="Q25" s="3">
        <v>0</v>
      </c>
      <c r="R25" s="17">
        <v>2</v>
      </c>
      <c r="S25" s="17">
        <v>8</v>
      </c>
      <c r="T25" s="17">
        <v>3.6</v>
      </c>
      <c r="U25" s="2" t="s">
        <v>21</v>
      </c>
    </row>
    <row r="26" spans="2:21">
      <c r="B26" s="5">
        <v>46013</v>
      </c>
      <c r="C26" s="11">
        <v>0.08</v>
      </c>
      <c r="D26" s="11">
        <v>1</v>
      </c>
      <c r="E26" s="3" t="s">
        <v>77</v>
      </c>
      <c r="F26" s="8">
        <v>4.4250000000000007</v>
      </c>
      <c r="G26" s="21">
        <v>0.23499999999999999</v>
      </c>
      <c r="H26" s="8">
        <v>53.01</v>
      </c>
      <c r="I26" s="9">
        <v>2.3200000000000003</v>
      </c>
      <c r="J26" s="9">
        <v>473.5</v>
      </c>
      <c r="K26" s="12">
        <v>36.200000000000003</v>
      </c>
      <c r="L26" s="2" t="s">
        <v>19</v>
      </c>
      <c r="M26" s="3" t="s">
        <v>20</v>
      </c>
      <c r="N26" s="11">
        <v>6.2416666666666676E-2</v>
      </c>
      <c r="O26" s="11">
        <v>1.2E-2</v>
      </c>
      <c r="P26" s="16">
        <v>53.144999999999996</v>
      </c>
      <c r="Q26" s="3">
        <v>0</v>
      </c>
      <c r="R26" s="17">
        <v>2.0500000000000003</v>
      </c>
      <c r="S26" s="17">
        <v>8</v>
      </c>
      <c r="T26" s="17">
        <v>2.9</v>
      </c>
      <c r="U26" s="2" t="s">
        <v>21</v>
      </c>
    </row>
    <row r="27" spans="2:21">
      <c r="B27" s="5">
        <v>46014</v>
      </c>
      <c r="C27" s="11">
        <v>0.08</v>
      </c>
      <c r="D27" s="11">
        <v>1</v>
      </c>
      <c r="E27" s="3" t="s">
        <v>77</v>
      </c>
      <c r="F27" s="8">
        <v>4.4800000000000004</v>
      </c>
      <c r="G27" s="21">
        <v>0.22</v>
      </c>
      <c r="H27" s="8">
        <v>53.13</v>
      </c>
      <c r="I27" s="9">
        <v>2.2850000000000001</v>
      </c>
      <c r="J27" s="9">
        <v>468.5</v>
      </c>
      <c r="K27" s="12">
        <v>27.6</v>
      </c>
      <c r="L27" s="2" t="s">
        <v>19</v>
      </c>
      <c r="M27" s="3" t="s">
        <v>20</v>
      </c>
      <c r="N27" s="11">
        <v>6.3333333333333339E-2</v>
      </c>
      <c r="O27" s="11">
        <v>1.2E-2</v>
      </c>
      <c r="P27" s="16">
        <v>53.094999999999999</v>
      </c>
      <c r="Q27" s="3">
        <v>0</v>
      </c>
      <c r="R27" s="17">
        <v>1.95</v>
      </c>
      <c r="S27" s="17">
        <v>8</v>
      </c>
      <c r="T27" s="17">
        <v>3.1</v>
      </c>
      <c r="U27" s="2" t="s">
        <v>21</v>
      </c>
    </row>
    <row r="28" spans="2:21">
      <c r="B28" s="5">
        <v>46015</v>
      </c>
      <c r="C28" s="11">
        <v>0.08</v>
      </c>
      <c r="D28" s="11">
        <v>1</v>
      </c>
      <c r="E28" s="3" t="s">
        <v>78</v>
      </c>
      <c r="F28" s="8">
        <v>4.6199999999999992</v>
      </c>
      <c r="G28" s="21">
        <v>0.22</v>
      </c>
      <c r="H28" s="8">
        <v>52.95</v>
      </c>
      <c r="I28" s="9">
        <v>2.3099999999999996</v>
      </c>
      <c r="J28" s="9">
        <v>466</v>
      </c>
      <c r="K28" s="12">
        <v>31.9</v>
      </c>
      <c r="L28" s="2" t="s">
        <v>19</v>
      </c>
      <c r="M28" s="3" t="s">
        <v>20</v>
      </c>
      <c r="N28" s="11">
        <v>6.4424999999999996E-2</v>
      </c>
      <c r="O28" s="11">
        <v>1.15E-2</v>
      </c>
      <c r="P28" s="16">
        <v>53.120000000000005</v>
      </c>
      <c r="Q28" s="3">
        <v>0</v>
      </c>
      <c r="R28" s="17">
        <v>1.9666666666666668</v>
      </c>
      <c r="S28" s="17">
        <v>8</v>
      </c>
      <c r="T28" s="17">
        <v>3</v>
      </c>
      <c r="U28" s="2" t="s">
        <v>21</v>
      </c>
    </row>
    <row r="29" spans="2:21">
      <c r="B29" s="5">
        <v>46016</v>
      </c>
      <c r="C29" s="11">
        <v>0.08</v>
      </c>
      <c r="D29" s="11">
        <v>1</v>
      </c>
      <c r="E29" s="3" t="s">
        <v>78</v>
      </c>
      <c r="F29" s="8">
        <v>4.6449999999999996</v>
      </c>
      <c r="G29" s="21">
        <v>0.20500000000000002</v>
      </c>
      <c r="H29" s="8">
        <v>52.924999999999997</v>
      </c>
      <c r="I29" s="9">
        <v>2.2949999999999999</v>
      </c>
      <c r="J29" s="9">
        <v>475</v>
      </c>
      <c r="K29" s="12">
        <v>31.9</v>
      </c>
      <c r="L29" s="2" t="s">
        <v>19</v>
      </c>
      <c r="M29" s="3" t="s">
        <v>20</v>
      </c>
      <c r="N29" s="11">
        <v>6.0499999999999998E-2</v>
      </c>
      <c r="O29" s="11">
        <v>1.0499999999999999E-2</v>
      </c>
      <c r="P29" s="16">
        <v>53.364999999999995</v>
      </c>
      <c r="Q29" s="3">
        <v>0</v>
      </c>
      <c r="R29" s="17">
        <v>2.0083333333333333</v>
      </c>
      <c r="S29" s="17">
        <v>8</v>
      </c>
      <c r="T29" s="17">
        <v>3.1</v>
      </c>
      <c r="U29" s="2" t="s">
        <v>21</v>
      </c>
    </row>
    <row r="30" spans="2:21">
      <c r="B30" s="5">
        <v>46017</v>
      </c>
      <c r="C30" s="11">
        <v>0.08</v>
      </c>
      <c r="D30" s="11">
        <v>1.2</v>
      </c>
      <c r="E30" s="3" t="s">
        <v>79</v>
      </c>
      <c r="F30" s="8">
        <v>4.4725000000000001</v>
      </c>
      <c r="G30" s="21">
        <v>0.19750000000000001</v>
      </c>
      <c r="H30" s="8">
        <v>52.745000000000005</v>
      </c>
      <c r="I30" s="9">
        <v>2.2824999999999998</v>
      </c>
      <c r="J30" s="9">
        <v>470</v>
      </c>
      <c r="K30" s="12">
        <v>33.4</v>
      </c>
      <c r="L30" s="2" t="s">
        <v>19</v>
      </c>
      <c r="M30" s="3" t="s">
        <v>55</v>
      </c>
      <c r="N30" s="11">
        <v>6.1166666666666682E-2</v>
      </c>
      <c r="O30" s="11">
        <v>1.15E-2</v>
      </c>
      <c r="P30" s="16">
        <v>53.026666666666664</v>
      </c>
      <c r="Q30" s="3">
        <v>0</v>
      </c>
      <c r="R30" s="17">
        <v>2.0749999999999997</v>
      </c>
      <c r="S30" s="17">
        <v>8</v>
      </c>
      <c r="T30" s="17">
        <v>3.5</v>
      </c>
      <c r="U30" s="2" t="s">
        <v>21</v>
      </c>
    </row>
    <row r="31" spans="2:21">
      <c r="B31" s="5">
        <v>46018</v>
      </c>
      <c r="C31" s="11">
        <v>7.4999999999999997E-2</v>
      </c>
      <c r="D31" s="11">
        <v>1</v>
      </c>
      <c r="E31" s="3" t="s">
        <v>78</v>
      </c>
      <c r="F31" s="8">
        <v>4.2949999999999999</v>
      </c>
      <c r="G31" s="21">
        <v>0.21</v>
      </c>
      <c r="H31" s="9">
        <v>52.92</v>
      </c>
      <c r="I31" s="9">
        <v>2.2650000000000001</v>
      </c>
      <c r="J31" s="9">
        <v>483</v>
      </c>
      <c r="K31" s="12">
        <v>29.3</v>
      </c>
      <c r="L31" s="2" t="s">
        <v>19</v>
      </c>
      <c r="M31" s="3" t="s">
        <v>20</v>
      </c>
      <c r="N31" s="11">
        <v>6.0750000000000005E-2</v>
      </c>
      <c r="O31" s="11">
        <v>1.0999999999999999E-2</v>
      </c>
      <c r="P31" s="16">
        <v>53.125</v>
      </c>
      <c r="Q31" s="3">
        <v>0</v>
      </c>
      <c r="R31" s="17">
        <v>1.9166666666666667</v>
      </c>
      <c r="S31" s="17">
        <v>8</v>
      </c>
      <c r="T31" s="17">
        <v>2.5</v>
      </c>
      <c r="U31" s="2" t="s">
        <v>21</v>
      </c>
    </row>
    <row r="32" spans="2:21">
      <c r="B32" s="5">
        <v>46019</v>
      </c>
      <c r="C32" s="11">
        <v>7.4999999999999997E-2</v>
      </c>
      <c r="D32" s="11">
        <v>1</v>
      </c>
      <c r="E32" s="3" t="s">
        <v>78</v>
      </c>
      <c r="F32" s="8">
        <v>4.0350000000000001</v>
      </c>
      <c r="G32" s="21">
        <v>0.21500000000000002</v>
      </c>
      <c r="H32" s="8">
        <v>52.93</v>
      </c>
      <c r="I32" s="9">
        <v>2.3149999999999999</v>
      </c>
      <c r="J32" s="9">
        <v>473.5</v>
      </c>
      <c r="K32" s="12">
        <v>34.700000000000003</v>
      </c>
      <c r="L32" s="2" t="s">
        <v>19</v>
      </c>
      <c r="M32" s="3" t="s">
        <v>20</v>
      </c>
      <c r="N32" s="11">
        <v>6.2333333333333331E-2</v>
      </c>
      <c r="O32" s="11">
        <v>1.2E-2</v>
      </c>
      <c r="P32" s="16">
        <v>53.07</v>
      </c>
      <c r="Q32" s="3">
        <v>0</v>
      </c>
      <c r="R32" s="17">
        <v>1.9833333333333334</v>
      </c>
      <c r="S32" s="17">
        <v>8</v>
      </c>
      <c r="T32" s="17">
        <v>2.6</v>
      </c>
      <c r="U32" s="2" t="s">
        <v>21</v>
      </c>
    </row>
    <row r="33" spans="2:21">
      <c r="B33" s="5">
        <v>46020</v>
      </c>
      <c r="C33" s="11">
        <v>7.4999999999999997E-2</v>
      </c>
      <c r="D33" s="11">
        <v>1</v>
      </c>
      <c r="E33" s="3" t="s">
        <v>78</v>
      </c>
      <c r="F33" s="8">
        <v>4.46</v>
      </c>
      <c r="G33" s="21">
        <v>0.21500000000000002</v>
      </c>
      <c r="H33" s="8">
        <v>52.879999999999995</v>
      </c>
      <c r="I33" s="9">
        <v>2.3149999999999999</v>
      </c>
      <c r="J33" s="9">
        <v>474.5</v>
      </c>
      <c r="K33" s="12">
        <v>33.4</v>
      </c>
      <c r="L33" s="2" t="s">
        <v>19</v>
      </c>
      <c r="M33" s="3" t="s">
        <v>20</v>
      </c>
      <c r="N33" s="11">
        <v>6.2666666666666662E-2</v>
      </c>
      <c r="O33" s="11">
        <v>1.15E-2</v>
      </c>
      <c r="P33" s="16">
        <v>53.05</v>
      </c>
      <c r="Q33" s="3">
        <v>0</v>
      </c>
      <c r="R33" s="17">
        <v>1.9666666666666666</v>
      </c>
      <c r="S33" s="17">
        <v>8</v>
      </c>
      <c r="T33" s="17">
        <v>3</v>
      </c>
      <c r="U33" s="2" t="s">
        <v>21</v>
      </c>
    </row>
    <row r="34" spans="2:21">
      <c r="B34" s="5">
        <v>46021</v>
      </c>
      <c r="C34" s="11">
        <v>7.4999999999999997E-2</v>
      </c>
      <c r="D34" s="11">
        <v>1</v>
      </c>
      <c r="E34" s="3" t="s">
        <v>78</v>
      </c>
      <c r="F34" s="8">
        <v>4.28</v>
      </c>
      <c r="G34" s="21">
        <v>0.22</v>
      </c>
      <c r="H34" s="8">
        <v>52.91</v>
      </c>
      <c r="I34" s="9">
        <v>2.37</v>
      </c>
      <c r="J34" s="9">
        <v>484</v>
      </c>
      <c r="K34" s="12">
        <v>34.1</v>
      </c>
      <c r="L34" s="2" t="s">
        <v>19</v>
      </c>
      <c r="M34" s="3" t="s">
        <v>20</v>
      </c>
      <c r="N34" s="11">
        <v>6.3750000000000015E-2</v>
      </c>
      <c r="O34" s="11">
        <v>1.2E-2</v>
      </c>
      <c r="P34" s="16">
        <v>53.094999999999999</v>
      </c>
      <c r="Q34" s="3">
        <v>0</v>
      </c>
      <c r="R34" s="17">
        <v>1.8833333333333331</v>
      </c>
      <c r="S34" s="17">
        <v>8</v>
      </c>
      <c r="T34" s="17">
        <v>3.1</v>
      </c>
      <c r="U34" s="2" t="s">
        <v>21</v>
      </c>
    </row>
    <row r="35" spans="2:21">
      <c r="B35" s="5">
        <v>46022</v>
      </c>
      <c r="C35" s="3">
        <v>7.4999999999999997E-2</v>
      </c>
      <c r="D35" s="11">
        <v>1.0208333329999999</v>
      </c>
      <c r="E35" s="3" t="s">
        <v>78</v>
      </c>
      <c r="F35" s="16">
        <v>4.415</v>
      </c>
      <c r="G35" s="16">
        <v>0.215</v>
      </c>
      <c r="H35" s="16">
        <v>52.784999999999997</v>
      </c>
      <c r="I35" s="16">
        <v>2.2999999999999998</v>
      </c>
      <c r="J35" s="16">
        <v>470</v>
      </c>
      <c r="K35" s="17">
        <v>34.6</v>
      </c>
      <c r="L35" s="2" t="s">
        <v>19</v>
      </c>
      <c r="M35" s="3" t="s">
        <v>20</v>
      </c>
      <c r="N35" s="11">
        <v>6.5416666666666665E-2</v>
      </c>
      <c r="O35" s="11">
        <v>1.15E-2</v>
      </c>
      <c r="P35" s="16">
        <v>53.115000000000002</v>
      </c>
      <c r="Q35" s="3">
        <v>0</v>
      </c>
      <c r="R35" s="17">
        <v>1.8833333333333331</v>
      </c>
      <c r="S35" s="17">
        <v>8</v>
      </c>
      <c r="T35" s="3">
        <v>3.7</v>
      </c>
      <c r="U35" s="2" t="s">
        <v>21</v>
      </c>
    </row>
    <row r="36" spans="2:21">
      <c r="F36" s="10"/>
      <c r="G36" s="10"/>
      <c r="H36" s="10"/>
      <c r="I36" s="10"/>
      <c r="J36" s="10"/>
      <c r="K36" s="10"/>
    </row>
    <row r="37" spans="2:21">
      <c r="B37" s="53"/>
      <c r="C37" s="53"/>
      <c r="D37" s="53"/>
      <c r="F37" s="10"/>
      <c r="G37" s="10"/>
      <c r="H37" s="10"/>
      <c r="I37" s="10"/>
      <c r="J37" s="10"/>
      <c r="K37" s="10"/>
    </row>
    <row r="38" spans="2:21">
      <c r="F38" s="10"/>
      <c r="G38" s="10"/>
      <c r="H38" s="10"/>
      <c r="I38" s="10"/>
      <c r="J38" s="10"/>
      <c r="K38" s="10"/>
    </row>
    <row r="39" spans="2:21">
      <c r="F39" s="10"/>
      <c r="G39" s="10"/>
      <c r="H39" s="10"/>
      <c r="I39" s="10"/>
      <c r="J39" s="10"/>
      <c r="K39" s="10"/>
    </row>
    <row r="40" spans="2:21">
      <c r="K40" s="10"/>
    </row>
    <row r="41" spans="2:21">
      <c r="K41" s="10"/>
    </row>
  </sheetData>
  <mergeCells count="6">
    <mergeCell ref="M3:U3"/>
    <mergeCell ref="B37:D37"/>
    <mergeCell ref="B3:B4"/>
    <mergeCell ref="C3:C4"/>
    <mergeCell ref="D3:D4"/>
    <mergeCell ref="E3:L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b66bb5-6c6c-4a84-88b4-209f34fbbb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91CC913AC6144DB0F8C2DD3EEA69F1" ma:contentTypeVersion="10" ma:contentTypeDescription="Create a new document." ma:contentTypeScope="" ma:versionID="d54bfd8d5ed9fd33873f4216af137cb5">
  <xsd:schema xmlns:xsd="http://www.w3.org/2001/XMLSchema" xmlns:xs="http://www.w3.org/2001/XMLSchema" xmlns:p="http://schemas.microsoft.com/office/2006/metadata/properties" xmlns:ns2="81b66bb5-6c6c-4a84-88b4-209f34fbbbac" targetNamespace="http://schemas.microsoft.com/office/2006/metadata/properties" ma:root="true" ma:fieldsID="eb221e76590a25d7537c3c8adee1eb04" ns2:_="">
    <xsd:import namespace="81b66bb5-6c6c-4a84-88b4-209f34fbbb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66bb5-6c6c-4a84-88b4-209f34fbbb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b8e917e-4e5b-4fad-85f4-e3bba3057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438DCB-523D-4C68-89AA-89AEC5382AC4}"/>
</file>

<file path=customXml/itemProps2.xml><?xml version="1.0" encoding="utf-8"?>
<ds:datastoreItem xmlns:ds="http://schemas.openxmlformats.org/officeDocument/2006/customXml" ds:itemID="{4AA7B580-8D55-4894-94AC-BCDF65514452}"/>
</file>

<file path=customXml/itemProps3.xml><?xml version="1.0" encoding="utf-8"?>
<ds:datastoreItem xmlns:ds="http://schemas.openxmlformats.org/officeDocument/2006/customXml" ds:itemID="{A6E08F3C-134E-4AC8-9985-75BA890DF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Foo Xiao Bing</dc:creator>
  <cp:keywords/>
  <dc:description/>
  <cp:lastModifiedBy>Zheng Taoran</cp:lastModifiedBy>
  <cp:revision/>
  <dcterms:created xsi:type="dcterms:W3CDTF">2025-10-26T11:21:52Z</dcterms:created>
  <dcterms:modified xsi:type="dcterms:W3CDTF">2026-02-05T03:30:25Z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0x010100B891CC913AC6144DB0F8C2DD3EEA69F1</vt:lpwstr>
  </property>
  <property fmtid="{D5CDD505-2E9C-101B-9397-08002B2CF9AE}" pid="3" name="MediaServiceImageTags">
    <vt:lpwstr/>
  </property>
</Properties>
</file>